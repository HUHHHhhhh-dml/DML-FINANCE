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ateBookdeCaSmith/Desktop/"/>
    </mc:Choice>
  </mc:AlternateContent>
  <xr:revisionPtr revIDLastSave="0" documentId="13_ncr:1_{1850A6E7-DDA3-AD48-9B20-891FACB86BB3}" xr6:coauthVersionLast="47" xr6:coauthVersionMax="47" xr10:uidLastSave="{00000000-0000-0000-0000-000000000000}"/>
  <bookViews>
    <workbookView xWindow="19180" yWindow="0" windowWidth="19220" windowHeight="21600" activeTab="5" xr2:uid="{088CABB3-B85B-1746-BF2B-5A3E608E2075}"/>
  </bookViews>
  <sheets>
    <sheet name="INDICE" sheetId="25" r:id="rId1"/>
    <sheet name="NYSE" sheetId="29" r:id="rId2"/>
    <sheet name="NASDAQ" sheetId="14" r:id="rId3"/>
    <sheet name="Datos del problema " sheetId="6" r:id="rId4"/>
    <sheet name="Boeing (BA)" sheetId="3" r:id="rId5"/>
    <sheet name="AMD (AMD)" sheetId="4" r:id="rId6"/>
    <sheet name="PepsiCO (PEP) " sheetId="10" r:id="rId7"/>
    <sheet name="Microsoft (MSFT)" sheetId="53" r:id="rId8"/>
    <sheet name="Oracle (ORCL)" sheetId="52" r:id="rId9"/>
    <sheet name="Alibaba Group (BABA)" sheetId="51" r:id="rId10"/>
    <sheet name="GMS Inc (GMS)" sheetId="50" r:id="rId11"/>
    <sheet name="Jabil Circuit Inc JBL" sheetId="49" r:id="rId12"/>
    <sheet name="John Wiley &amp; Sons (WLY)" sheetId="48" r:id="rId13"/>
    <sheet name="Lennar Corporation (LEN)" sheetId="47" r:id="rId14"/>
    <sheet name="Micron Technology Inc (MU)" sheetId="46" r:id="rId15"/>
    <sheet name="Marathon Digital H. Inc. (MARA)" sheetId="45" r:id="rId16"/>
    <sheet name="Symbotic (SYM)" sheetId="44" r:id="rId17"/>
    <sheet name="Super Micro Computer Inc (SMCI)" sheetId="43" r:id="rId18"/>
    <sheet name="SoundHound AI Inc (SOUN)" sheetId="42" r:id="rId19"/>
    <sheet name="Quantum Computing Inc (QUBT)" sheetId="41" r:id="rId20"/>
    <sheet name="Walmart (WMT)" sheetId="40" r:id="rId21"/>
    <sheet name="Salesforce (CRM)" sheetId="39" r:id="rId22"/>
    <sheet name="RH (RH)" sheetId="38" r:id="rId23"/>
    <sheet name="CrowdStrike Holdings Inc (CRWD)" sheetId="37" r:id="rId24"/>
    <sheet name="Hims Hers Health Inc (HIMS)" sheetId="36" r:id="rId25"/>
    <sheet name="SoFi Technologies (SOFI)" sheetId="35" r:id="rId26"/>
    <sheet name="MicroStrategy Inc (MSTR)" sheetId="34" r:id="rId27"/>
    <sheet name="Google Class C (GOOG)" sheetId="33" r:id="rId28"/>
    <sheet name="PALANTIR (PLTR)" sheetId="11" r:id="rId29"/>
    <sheet name="NVIDIA (NVDA)" sheetId="26" r:id="rId30"/>
    <sheet name="Agilon Health Inc (AGL)" sheetId="24" r:id="rId31"/>
    <sheet name="OppFi Inc (OPFI)" sheetId="23" r:id="rId32"/>
    <sheet name="WolfSpeed (WOLF)" sheetId="22" r:id="rId33"/>
    <sheet name="AppLovin (APP)" sheetId="21" r:id="rId34"/>
    <sheet name="Apple Inc (AAPL)" sheetId="19" r:id="rId35"/>
    <sheet name="Robin Energy LTD (RBNE)" sheetId="20" r:id="rId36"/>
  </sheets>
  <definedNames>
    <definedName name="_xleta.N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0" i="4" l="1"/>
  <c r="G43" i="4"/>
  <c r="C13" i="4" s="1"/>
  <c r="G43" i="40"/>
  <c r="C13" i="40" s="1"/>
  <c r="Q26" i="37"/>
  <c r="C13" i="37"/>
  <c r="C14" i="37"/>
  <c r="Q30" i="51"/>
  <c r="Q26" i="53"/>
  <c r="C12" i="53"/>
  <c r="L41" i="53"/>
  <c r="I41" i="53"/>
  <c r="F41" i="53"/>
  <c r="E41" i="53"/>
  <c r="G41" i="53" s="1"/>
  <c r="L40" i="53"/>
  <c r="I40" i="53"/>
  <c r="G40" i="53"/>
  <c r="F40" i="53"/>
  <c r="E40" i="53"/>
  <c r="L39" i="53"/>
  <c r="I39" i="53"/>
  <c r="F39" i="53"/>
  <c r="E39" i="53"/>
  <c r="G39" i="53" s="1"/>
  <c r="L38" i="53"/>
  <c r="I38" i="53"/>
  <c r="J38" i="53" s="1"/>
  <c r="F38" i="53"/>
  <c r="G38" i="53" s="1"/>
  <c r="E38" i="53"/>
  <c r="L37" i="53"/>
  <c r="I37" i="53"/>
  <c r="F37" i="53"/>
  <c r="E37" i="53"/>
  <c r="L36" i="53"/>
  <c r="I36" i="53"/>
  <c r="F36" i="53"/>
  <c r="E36" i="53"/>
  <c r="G36" i="53" s="1"/>
  <c r="L35" i="53"/>
  <c r="I35" i="53"/>
  <c r="J35" i="53" s="1"/>
  <c r="F35" i="53"/>
  <c r="E35" i="53"/>
  <c r="G35" i="53" s="1"/>
  <c r="L34" i="53"/>
  <c r="I34" i="53"/>
  <c r="F34" i="53"/>
  <c r="E34" i="53"/>
  <c r="L33" i="53"/>
  <c r="I33" i="53"/>
  <c r="J33" i="53" s="1"/>
  <c r="F33" i="53"/>
  <c r="E33" i="53"/>
  <c r="L32" i="53"/>
  <c r="I32" i="53"/>
  <c r="F32" i="53"/>
  <c r="E32" i="53"/>
  <c r="G32" i="53" s="1"/>
  <c r="L31" i="53"/>
  <c r="I31" i="53"/>
  <c r="J32" i="53" s="1"/>
  <c r="F31" i="53"/>
  <c r="E31" i="53"/>
  <c r="L30" i="53"/>
  <c r="I30" i="53"/>
  <c r="F30" i="53"/>
  <c r="E30" i="53"/>
  <c r="L29" i="53"/>
  <c r="I29" i="53"/>
  <c r="F29" i="53"/>
  <c r="E29" i="53"/>
  <c r="G29" i="53" s="1"/>
  <c r="L28" i="53"/>
  <c r="I28" i="53"/>
  <c r="F28" i="53"/>
  <c r="E28" i="53"/>
  <c r="L27" i="53"/>
  <c r="I27" i="53"/>
  <c r="J27" i="53" s="1"/>
  <c r="F27" i="53"/>
  <c r="E27" i="53"/>
  <c r="L26" i="53"/>
  <c r="I26" i="53"/>
  <c r="F26" i="53"/>
  <c r="G26" i="53" s="1"/>
  <c r="E26" i="53"/>
  <c r="Q25" i="53"/>
  <c r="R26" i="53" s="1"/>
  <c r="L25" i="53"/>
  <c r="I25" i="53"/>
  <c r="F25" i="53"/>
  <c r="E25" i="53"/>
  <c r="G25" i="53" s="1"/>
  <c r="L24" i="53"/>
  <c r="I24" i="53"/>
  <c r="F24" i="53"/>
  <c r="E24" i="53"/>
  <c r="R23" i="53"/>
  <c r="L23" i="53"/>
  <c r="I23" i="53"/>
  <c r="F23" i="53"/>
  <c r="E23" i="53"/>
  <c r="G23" i="53" s="1"/>
  <c r="L22" i="53"/>
  <c r="I22" i="53"/>
  <c r="J22" i="53" s="1"/>
  <c r="F22" i="53"/>
  <c r="E22" i="53"/>
  <c r="G22" i="53" s="1"/>
  <c r="L21" i="53"/>
  <c r="L44" i="53" s="1"/>
  <c r="I21" i="53"/>
  <c r="F21" i="53"/>
  <c r="E21" i="53"/>
  <c r="G21" i="53" s="1"/>
  <c r="L20" i="53"/>
  <c r="I20" i="53"/>
  <c r="F20" i="53"/>
  <c r="E20" i="53"/>
  <c r="G20" i="53" s="1"/>
  <c r="Q19" i="53"/>
  <c r="I19" i="53"/>
  <c r="K18" i="53"/>
  <c r="I18" i="53"/>
  <c r="R17" i="53"/>
  <c r="R15" i="53"/>
  <c r="R13" i="53"/>
  <c r="R11" i="53"/>
  <c r="Q6" i="53"/>
  <c r="Q5" i="53"/>
  <c r="L41" i="52"/>
  <c r="I41" i="52"/>
  <c r="J41" i="52" s="1"/>
  <c r="F41" i="52"/>
  <c r="E41" i="52"/>
  <c r="G41" i="52" s="1"/>
  <c r="L40" i="52"/>
  <c r="I40" i="52"/>
  <c r="F40" i="52"/>
  <c r="E40" i="52"/>
  <c r="G40" i="52" s="1"/>
  <c r="L39" i="52"/>
  <c r="I39" i="52"/>
  <c r="F39" i="52"/>
  <c r="E39" i="52"/>
  <c r="G39" i="52" s="1"/>
  <c r="L38" i="52"/>
  <c r="I38" i="52"/>
  <c r="J38" i="52" s="1"/>
  <c r="F38" i="52"/>
  <c r="E38" i="52"/>
  <c r="G38" i="52" s="1"/>
  <c r="L37" i="52"/>
  <c r="I37" i="52"/>
  <c r="J37" i="52" s="1"/>
  <c r="F37" i="52"/>
  <c r="E37" i="52"/>
  <c r="G37" i="52" s="1"/>
  <c r="L36" i="52"/>
  <c r="I36" i="52"/>
  <c r="F36" i="52"/>
  <c r="E36" i="52"/>
  <c r="G36" i="52" s="1"/>
  <c r="L35" i="52"/>
  <c r="I35" i="52"/>
  <c r="J35" i="52" s="1"/>
  <c r="F35" i="52"/>
  <c r="E35" i="52"/>
  <c r="G35" i="52" s="1"/>
  <c r="L34" i="52"/>
  <c r="J34" i="52"/>
  <c r="I34" i="52"/>
  <c r="F34" i="52"/>
  <c r="E34" i="52"/>
  <c r="G34" i="52" s="1"/>
  <c r="L33" i="52"/>
  <c r="J33" i="52"/>
  <c r="I33" i="52"/>
  <c r="F33" i="52"/>
  <c r="E33" i="52"/>
  <c r="G33" i="52" s="1"/>
  <c r="L32" i="52"/>
  <c r="I32" i="52"/>
  <c r="G32" i="52"/>
  <c r="F32" i="52"/>
  <c r="E32" i="52"/>
  <c r="L31" i="52"/>
  <c r="J31" i="52"/>
  <c r="I31" i="52"/>
  <c r="F31" i="52"/>
  <c r="E31" i="52"/>
  <c r="G31" i="52" s="1"/>
  <c r="L30" i="52"/>
  <c r="J30" i="52"/>
  <c r="I30" i="52"/>
  <c r="F30" i="52"/>
  <c r="E30" i="52"/>
  <c r="L29" i="52"/>
  <c r="I29" i="52"/>
  <c r="F29" i="52"/>
  <c r="E29" i="52"/>
  <c r="G29" i="52" s="1"/>
  <c r="L28" i="52"/>
  <c r="I28" i="52"/>
  <c r="J28" i="52" s="1"/>
  <c r="F28" i="52"/>
  <c r="E28" i="52"/>
  <c r="G28" i="52" s="1"/>
  <c r="L27" i="52"/>
  <c r="I27" i="52"/>
  <c r="J27" i="52" s="1"/>
  <c r="F27" i="52"/>
  <c r="E27" i="52"/>
  <c r="G27" i="52" s="1"/>
  <c r="L26" i="52"/>
  <c r="I26" i="52"/>
  <c r="F26" i="52"/>
  <c r="E26" i="52"/>
  <c r="G26" i="52" s="1"/>
  <c r="Q25" i="52"/>
  <c r="Q26" i="52" s="1"/>
  <c r="L25" i="52"/>
  <c r="I25" i="52"/>
  <c r="F25" i="52"/>
  <c r="E25" i="52"/>
  <c r="G25" i="52" s="1"/>
  <c r="L24" i="52"/>
  <c r="I24" i="52"/>
  <c r="F24" i="52"/>
  <c r="G24" i="52" s="1"/>
  <c r="E24" i="52"/>
  <c r="R23" i="52"/>
  <c r="L23" i="52"/>
  <c r="I23" i="52"/>
  <c r="F23" i="52"/>
  <c r="E23" i="52"/>
  <c r="G23" i="52" s="1"/>
  <c r="L22" i="52"/>
  <c r="I22" i="52"/>
  <c r="F22" i="52"/>
  <c r="E22" i="52"/>
  <c r="G22" i="52" s="1"/>
  <c r="L21" i="52"/>
  <c r="I21" i="52"/>
  <c r="F21" i="52"/>
  <c r="E21" i="52"/>
  <c r="G21" i="52" s="1"/>
  <c r="L20" i="52"/>
  <c r="L44" i="52" s="1"/>
  <c r="I20" i="52"/>
  <c r="F20" i="52"/>
  <c r="E20" i="52"/>
  <c r="G20" i="52" s="1"/>
  <c r="Q19" i="52"/>
  <c r="I19" i="52"/>
  <c r="K18" i="52"/>
  <c r="I18" i="52"/>
  <c r="R17" i="52"/>
  <c r="R15" i="52"/>
  <c r="R13" i="52"/>
  <c r="R11" i="52"/>
  <c r="Q6" i="52"/>
  <c r="Q5" i="52"/>
  <c r="J29" i="53" l="1"/>
  <c r="J30" i="53"/>
  <c r="J21" i="53"/>
  <c r="J37" i="53"/>
  <c r="G30" i="53"/>
  <c r="J24" i="53"/>
  <c r="J39" i="53"/>
  <c r="G37" i="53"/>
  <c r="J26" i="53"/>
  <c r="G27" i="53"/>
  <c r="G34" i="53"/>
  <c r="J41" i="53"/>
  <c r="G28" i="53"/>
  <c r="J31" i="53"/>
  <c r="G33" i="53"/>
  <c r="J20" i="53"/>
  <c r="G24" i="53"/>
  <c r="G43" i="53" s="1"/>
  <c r="C13" i="53" s="1"/>
  <c r="C14" i="53" s="1"/>
  <c r="C15" i="53" s="1"/>
  <c r="G31" i="53"/>
  <c r="J34" i="53"/>
  <c r="J28" i="53"/>
  <c r="J25" i="53"/>
  <c r="J36" i="53"/>
  <c r="J40" i="53"/>
  <c r="J23" i="53"/>
  <c r="L43" i="53" s="1"/>
  <c r="L45" i="53" s="1"/>
  <c r="J22" i="52"/>
  <c r="J24" i="52"/>
  <c r="J32" i="52"/>
  <c r="J26" i="52"/>
  <c r="J39" i="52"/>
  <c r="G30" i="52"/>
  <c r="J29" i="52"/>
  <c r="J20" i="52"/>
  <c r="R26" i="52"/>
  <c r="G43" i="52"/>
  <c r="C13" i="52" s="1"/>
  <c r="C14" i="52" s="1"/>
  <c r="C15" i="52" s="1"/>
  <c r="J21" i="52"/>
  <c r="J25" i="52"/>
  <c r="J36" i="52"/>
  <c r="J40" i="52"/>
  <c r="J23" i="52"/>
  <c r="Q18" i="53" l="1"/>
  <c r="L43" i="52"/>
  <c r="L45" i="52" s="1"/>
  <c r="Q18" i="52"/>
  <c r="Q28" i="53" l="1"/>
  <c r="R22" i="53"/>
  <c r="Q28" i="52"/>
  <c r="R22" i="52"/>
  <c r="Q30" i="53" l="1"/>
  <c r="R30" i="53"/>
  <c r="R31" i="53" s="1"/>
  <c r="Q30" i="52"/>
  <c r="R30" i="52"/>
  <c r="R31" i="52" s="1"/>
  <c r="L41" i="51" l="1"/>
  <c r="I41" i="51"/>
  <c r="F41" i="51"/>
  <c r="E41" i="51"/>
  <c r="G41" i="51" s="1"/>
  <c r="L40" i="51"/>
  <c r="I40" i="51"/>
  <c r="J40" i="51" s="1"/>
  <c r="F40" i="51"/>
  <c r="E40" i="51"/>
  <c r="G40" i="51" s="1"/>
  <c r="L39" i="51"/>
  <c r="I39" i="51"/>
  <c r="F39" i="51"/>
  <c r="E39" i="51"/>
  <c r="G39" i="51" s="1"/>
  <c r="L38" i="51"/>
  <c r="I38" i="51"/>
  <c r="J39" i="51" s="1"/>
  <c r="G38" i="51"/>
  <c r="F38" i="51"/>
  <c r="E38" i="51"/>
  <c r="L37" i="51"/>
  <c r="I37" i="51"/>
  <c r="F37" i="51"/>
  <c r="E37" i="51"/>
  <c r="G37" i="51" s="1"/>
  <c r="L36" i="51"/>
  <c r="I36" i="51"/>
  <c r="J36" i="51" s="1"/>
  <c r="F36" i="51"/>
  <c r="E36" i="51"/>
  <c r="G36" i="51" s="1"/>
  <c r="L35" i="51"/>
  <c r="J35" i="51"/>
  <c r="I35" i="51"/>
  <c r="F35" i="51"/>
  <c r="E35" i="51"/>
  <c r="L34" i="51"/>
  <c r="I34" i="51"/>
  <c r="F34" i="51"/>
  <c r="E34" i="51"/>
  <c r="G34" i="51" s="1"/>
  <c r="L33" i="51"/>
  <c r="I33" i="51"/>
  <c r="F33" i="51"/>
  <c r="E33" i="51"/>
  <c r="G33" i="51" s="1"/>
  <c r="L32" i="51"/>
  <c r="I32" i="51"/>
  <c r="F32" i="51"/>
  <c r="E32" i="51"/>
  <c r="G32" i="51" s="1"/>
  <c r="L31" i="51"/>
  <c r="I31" i="51"/>
  <c r="J31" i="51" s="1"/>
  <c r="F31" i="51"/>
  <c r="E31" i="51"/>
  <c r="G31" i="51" s="1"/>
  <c r="L30" i="51"/>
  <c r="I30" i="51"/>
  <c r="F30" i="51"/>
  <c r="E30" i="51"/>
  <c r="G30" i="51" s="1"/>
  <c r="L29" i="51"/>
  <c r="I29" i="51"/>
  <c r="F29" i="51"/>
  <c r="E29" i="51"/>
  <c r="G29" i="51" s="1"/>
  <c r="L28" i="51"/>
  <c r="I28" i="51"/>
  <c r="J28" i="51" s="1"/>
  <c r="F28" i="51"/>
  <c r="E28" i="51"/>
  <c r="G28" i="51" s="1"/>
  <c r="L27" i="51"/>
  <c r="I27" i="51"/>
  <c r="J27" i="51" s="1"/>
  <c r="F27" i="51"/>
  <c r="E27" i="51"/>
  <c r="G27" i="51" s="1"/>
  <c r="Q26" i="51"/>
  <c r="R26" i="51" s="1"/>
  <c r="L26" i="51"/>
  <c r="I26" i="51"/>
  <c r="J26" i="51" s="1"/>
  <c r="F26" i="51"/>
  <c r="E26" i="51"/>
  <c r="G26" i="51" s="1"/>
  <c r="Q25" i="51"/>
  <c r="L25" i="51"/>
  <c r="I25" i="51"/>
  <c r="F25" i="51"/>
  <c r="E25" i="51"/>
  <c r="G25" i="51" s="1"/>
  <c r="L24" i="51"/>
  <c r="L44" i="51" s="1"/>
  <c r="I24" i="51"/>
  <c r="J24" i="51" s="1"/>
  <c r="F24" i="51"/>
  <c r="E24" i="51"/>
  <c r="G24" i="51" s="1"/>
  <c r="R23" i="51"/>
  <c r="L23" i="51"/>
  <c r="I23" i="51"/>
  <c r="F23" i="51"/>
  <c r="E23" i="51"/>
  <c r="L22" i="51"/>
  <c r="I22" i="51"/>
  <c r="J22" i="51" s="1"/>
  <c r="F22" i="51"/>
  <c r="E22" i="51"/>
  <c r="G22" i="51" s="1"/>
  <c r="L21" i="51"/>
  <c r="I21" i="51"/>
  <c r="J21" i="51" s="1"/>
  <c r="F21" i="51"/>
  <c r="E21" i="51"/>
  <c r="L20" i="51"/>
  <c r="I20" i="51"/>
  <c r="F20" i="51"/>
  <c r="E20" i="51"/>
  <c r="G20" i="51" s="1"/>
  <c r="Q19" i="51"/>
  <c r="I19" i="51"/>
  <c r="J20" i="51" s="1"/>
  <c r="K18" i="51"/>
  <c r="I18" i="51"/>
  <c r="R17" i="51"/>
  <c r="R15" i="51"/>
  <c r="R13" i="51"/>
  <c r="C12" i="51"/>
  <c r="R11" i="51"/>
  <c r="Q6" i="51"/>
  <c r="Q5" i="51"/>
  <c r="L41" i="50"/>
  <c r="I41" i="50"/>
  <c r="F41" i="50"/>
  <c r="E41" i="50"/>
  <c r="G41" i="50" s="1"/>
  <c r="L40" i="50"/>
  <c r="I40" i="50"/>
  <c r="J40" i="50" s="1"/>
  <c r="F40" i="50"/>
  <c r="E40" i="50"/>
  <c r="G40" i="50" s="1"/>
  <c r="L39" i="50"/>
  <c r="I39" i="50"/>
  <c r="F39" i="50"/>
  <c r="E39" i="50"/>
  <c r="G39" i="50" s="1"/>
  <c r="L38" i="50"/>
  <c r="J38" i="50"/>
  <c r="I38" i="50"/>
  <c r="J39" i="50" s="1"/>
  <c r="F38" i="50"/>
  <c r="E38" i="50"/>
  <c r="G38" i="50" s="1"/>
  <c r="L37" i="50"/>
  <c r="I37" i="50"/>
  <c r="J37" i="50" s="1"/>
  <c r="F37" i="50"/>
  <c r="E37" i="50"/>
  <c r="G37" i="50" s="1"/>
  <c r="L36" i="50"/>
  <c r="I36" i="50"/>
  <c r="F36" i="50"/>
  <c r="E36" i="50"/>
  <c r="G36" i="50" s="1"/>
  <c r="L35" i="50"/>
  <c r="I35" i="50"/>
  <c r="J35" i="50" s="1"/>
  <c r="F35" i="50"/>
  <c r="E35" i="50"/>
  <c r="G35" i="50" s="1"/>
  <c r="L34" i="50"/>
  <c r="J34" i="50"/>
  <c r="I34" i="50"/>
  <c r="F34" i="50"/>
  <c r="E34" i="50"/>
  <c r="G34" i="50" s="1"/>
  <c r="L33" i="50"/>
  <c r="I33" i="50"/>
  <c r="F33" i="50"/>
  <c r="E33" i="50"/>
  <c r="G33" i="50" s="1"/>
  <c r="L32" i="50"/>
  <c r="I32" i="50"/>
  <c r="J32" i="50" s="1"/>
  <c r="F32" i="50"/>
  <c r="E32" i="50"/>
  <c r="G32" i="50" s="1"/>
  <c r="L31" i="50"/>
  <c r="I31" i="50"/>
  <c r="F31" i="50"/>
  <c r="E31" i="50"/>
  <c r="G31" i="50" s="1"/>
  <c r="L30" i="50"/>
  <c r="I30" i="50"/>
  <c r="J31" i="50" s="1"/>
  <c r="F30" i="50"/>
  <c r="E30" i="50"/>
  <c r="G30" i="50" s="1"/>
  <c r="L29" i="50"/>
  <c r="I29" i="50"/>
  <c r="F29" i="50"/>
  <c r="E29" i="50"/>
  <c r="G29" i="50" s="1"/>
  <c r="L28" i="50"/>
  <c r="I28" i="50"/>
  <c r="J28" i="50" s="1"/>
  <c r="F28" i="50"/>
  <c r="E28" i="50"/>
  <c r="G28" i="50" s="1"/>
  <c r="L27" i="50"/>
  <c r="I27" i="50"/>
  <c r="J27" i="50" s="1"/>
  <c r="F27" i="50"/>
  <c r="E27" i="50"/>
  <c r="G27" i="50" s="1"/>
  <c r="L26" i="50"/>
  <c r="I26" i="50"/>
  <c r="J26" i="50" s="1"/>
  <c r="G26" i="50"/>
  <c r="F26" i="50"/>
  <c r="E26" i="50"/>
  <c r="Q25" i="50"/>
  <c r="Q26" i="50" s="1"/>
  <c r="R26" i="50" s="1"/>
  <c r="L25" i="50"/>
  <c r="I25" i="50"/>
  <c r="F25" i="50"/>
  <c r="G25" i="50" s="1"/>
  <c r="E25" i="50"/>
  <c r="L24" i="50"/>
  <c r="I24" i="50"/>
  <c r="J25" i="50" s="1"/>
  <c r="F24" i="50"/>
  <c r="E24" i="50"/>
  <c r="G24" i="50" s="1"/>
  <c r="R23" i="50"/>
  <c r="L23" i="50"/>
  <c r="I23" i="50"/>
  <c r="F23" i="50"/>
  <c r="E23" i="50"/>
  <c r="G23" i="50" s="1"/>
  <c r="L22" i="50"/>
  <c r="I22" i="50"/>
  <c r="J22" i="50" s="1"/>
  <c r="F22" i="50"/>
  <c r="E22" i="50"/>
  <c r="G22" i="50" s="1"/>
  <c r="L21" i="50"/>
  <c r="I21" i="50"/>
  <c r="F21" i="50"/>
  <c r="E21" i="50"/>
  <c r="G21" i="50" s="1"/>
  <c r="L20" i="50"/>
  <c r="L44" i="50" s="1"/>
  <c r="I20" i="50"/>
  <c r="J20" i="50" s="1"/>
  <c r="F20" i="50"/>
  <c r="E20" i="50"/>
  <c r="Q19" i="50"/>
  <c r="I19" i="50"/>
  <c r="K18" i="50"/>
  <c r="I18" i="50"/>
  <c r="R17" i="50"/>
  <c r="R15" i="50"/>
  <c r="R13" i="50"/>
  <c r="C12" i="50"/>
  <c r="R11" i="50"/>
  <c r="Q6" i="50"/>
  <c r="Q5" i="50"/>
  <c r="L41" i="49"/>
  <c r="I41" i="49"/>
  <c r="J41" i="49" s="1"/>
  <c r="F41" i="49"/>
  <c r="E41" i="49"/>
  <c r="G41" i="49" s="1"/>
  <c r="L40" i="49"/>
  <c r="I40" i="49"/>
  <c r="J40" i="49" s="1"/>
  <c r="F40" i="49"/>
  <c r="E40" i="49"/>
  <c r="G40" i="49" s="1"/>
  <c r="L39" i="49"/>
  <c r="I39" i="49"/>
  <c r="F39" i="49"/>
  <c r="E39" i="49"/>
  <c r="L38" i="49"/>
  <c r="I38" i="49"/>
  <c r="J38" i="49" s="1"/>
  <c r="F38" i="49"/>
  <c r="E38" i="49"/>
  <c r="G38" i="49" s="1"/>
  <c r="L37" i="49"/>
  <c r="I37" i="49"/>
  <c r="F37" i="49"/>
  <c r="E37" i="49"/>
  <c r="G37" i="49" s="1"/>
  <c r="L36" i="49"/>
  <c r="I36" i="49"/>
  <c r="F36" i="49"/>
  <c r="E36" i="49"/>
  <c r="G36" i="49" s="1"/>
  <c r="L35" i="49"/>
  <c r="I35" i="49"/>
  <c r="J35" i="49" s="1"/>
  <c r="F35" i="49"/>
  <c r="E35" i="49"/>
  <c r="L34" i="49"/>
  <c r="I34" i="49"/>
  <c r="F34" i="49"/>
  <c r="E34" i="49"/>
  <c r="G34" i="49" s="1"/>
  <c r="L33" i="49"/>
  <c r="I33" i="49"/>
  <c r="J34" i="49" s="1"/>
  <c r="G33" i="49"/>
  <c r="F33" i="49"/>
  <c r="E33" i="49"/>
  <c r="L32" i="49"/>
  <c r="I32" i="49"/>
  <c r="F32" i="49"/>
  <c r="E32" i="49"/>
  <c r="G32" i="49" s="1"/>
  <c r="L31" i="49"/>
  <c r="I31" i="49"/>
  <c r="J31" i="49" s="1"/>
  <c r="F31" i="49"/>
  <c r="E31" i="49"/>
  <c r="G31" i="49" s="1"/>
  <c r="L30" i="49"/>
  <c r="I30" i="49"/>
  <c r="J30" i="49" s="1"/>
  <c r="G30" i="49"/>
  <c r="F30" i="49"/>
  <c r="E30" i="49"/>
  <c r="L29" i="49"/>
  <c r="I29" i="49"/>
  <c r="F29" i="49"/>
  <c r="E29" i="49"/>
  <c r="G29" i="49" s="1"/>
  <c r="L28" i="49"/>
  <c r="I28" i="49"/>
  <c r="J29" i="49" s="1"/>
  <c r="F28" i="49"/>
  <c r="E28" i="49"/>
  <c r="G28" i="49" s="1"/>
  <c r="L27" i="49"/>
  <c r="J27" i="49"/>
  <c r="I27" i="49"/>
  <c r="F27" i="49"/>
  <c r="E27" i="49"/>
  <c r="G27" i="49" s="1"/>
  <c r="L26" i="49"/>
  <c r="I26" i="49"/>
  <c r="F26" i="49"/>
  <c r="E26" i="49"/>
  <c r="G26" i="49" s="1"/>
  <c r="Q25" i="49"/>
  <c r="Q26" i="49" s="1"/>
  <c r="R26" i="49" s="1"/>
  <c r="L25" i="49"/>
  <c r="J25" i="49"/>
  <c r="I25" i="49"/>
  <c r="J26" i="49" s="1"/>
  <c r="F25" i="49"/>
  <c r="E25" i="49"/>
  <c r="G25" i="49" s="1"/>
  <c r="L24" i="49"/>
  <c r="I24" i="49"/>
  <c r="F24" i="49"/>
  <c r="E24" i="49"/>
  <c r="G24" i="49" s="1"/>
  <c r="R23" i="49"/>
  <c r="L23" i="49"/>
  <c r="I23" i="49"/>
  <c r="F23" i="49"/>
  <c r="E23" i="49"/>
  <c r="L22" i="49"/>
  <c r="I22" i="49"/>
  <c r="F22" i="49"/>
  <c r="E22" i="49"/>
  <c r="G22" i="49" s="1"/>
  <c r="L21" i="49"/>
  <c r="I21" i="49"/>
  <c r="F21" i="49"/>
  <c r="E21" i="49"/>
  <c r="G21" i="49" s="1"/>
  <c r="L20" i="49"/>
  <c r="L44" i="49" s="1"/>
  <c r="I20" i="49"/>
  <c r="J20" i="49" s="1"/>
  <c r="F20" i="49"/>
  <c r="E20" i="49"/>
  <c r="G20" i="49" s="1"/>
  <c r="Q19" i="49"/>
  <c r="I19" i="49"/>
  <c r="K18" i="49"/>
  <c r="I18" i="49"/>
  <c r="R17" i="49"/>
  <c r="R15" i="49"/>
  <c r="R13" i="49"/>
  <c r="C12" i="49"/>
  <c r="R11" i="49"/>
  <c r="Q6" i="49"/>
  <c r="Q5" i="49"/>
  <c r="L41" i="48"/>
  <c r="I41" i="48"/>
  <c r="J41" i="48" s="1"/>
  <c r="F41" i="48"/>
  <c r="E41" i="48"/>
  <c r="L40" i="48"/>
  <c r="I40" i="48"/>
  <c r="J40" i="48" s="1"/>
  <c r="F40" i="48"/>
  <c r="E40" i="48"/>
  <c r="L39" i="48"/>
  <c r="I39" i="48"/>
  <c r="F39" i="48"/>
  <c r="E39" i="48"/>
  <c r="G39" i="48" s="1"/>
  <c r="L38" i="48"/>
  <c r="I38" i="48"/>
  <c r="J38" i="48" s="1"/>
  <c r="F38" i="48"/>
  <c r="E38" i="48"/>
  <c r="G38" i="48" s="1"/>
  <c r="L37" i="48"/>
  <c r="I37" i="48"/>
  <c r="F37" i="48"/>
  <c r="E37" i="48"/>
  <c r="L36" i="48"/>
  <c r="I36" i="48"/>
  <c r="F36" i="48"/>
  <c r="G36" i="48" s="1"/>
  <c r="E36" i="48"/>
  <c r="L35" i="48"/>
  <c r="I35" i="48"/>
  <c r="F35" i="48"/>
  <c r="E35" i="48"/>
  <c r="G35" i="48" s="1"/>
  <c r="L34" i="48"/>
  <c r="I34" i="48"/>
  <c r="J34" i="48" s="1"/>
  <c r="F34" i="48"/>
  <c r="E34" i="48"/>
  <c r="L33" i="48"/>
  <c r="I33" i="48"/>
  <c r="F33" i="48"/>
  <c r="E33" i="48"/>
  <c r="L32" i="48"/>
  <c r="I32" i="48"/>
  <c r="F32" i="48"/>
  <c r="E32" i="48"/>
  <c r="L31" i="48"/>
  <c r="I31" i="48"/>
  <c r="F31" i="48"/>
  <c r="E31" i="48"/>
  <c r="G31" i="48" s="1"/>
  <c r="L30" i="48"/>
  <c r="I30" i="48"/>
  <c r="F30" i="48"/>
  <c r="E30" i="48"/>
  <c r="G30" i="48" s="1"/>
  <c r="L29" i="48"/>
  <c r="I29" i="48"/>
  <c r="F29" i="48"/>
  <c r="E29" i="48"/>
  <c r="G29" i="48" s="1"/>
  <c r="L28" i="48"/>
  <c r="I28" i="48"/>
  <c r="J29" i="48" s="1"/>
  <c r="F28" i="48"/>
  <c r="E28" i="48"/>
  <c r="L27" i="48"/>
  <c r="I27" i="48"/>
  <c r="F27" i="48"/>
  <c r="E27" i="48"/>
  <c r="L26" i="48"/>
  <c r="I26" i="48"/>
  <c r="F26" i="48"/>
  <c r="E26" i="48"/>
  <c r="Q25" i="48"/>
  <c r="Q26" i="48" s="1"/>
  <c r="R26" i="48" s="1"/>
  <c r="L25" i="48"/>
  <c r="I25" i="48"/>
  <c r="J25" i="48" s="1"/>
  <c r="G25" i="48"/>
  <c r="F25" i="48"/>
  <c r="E25" i="48"/>
  <c r="L24" i="48"/>
  <c r="I24" i="48"/>
  <c r="F24" i="48"/>
  <c r="E24" i="48"/>
  <c r="G24" i="48" s="1"/>
  <c r="R23" i="48"/>
  <c r="L23" i="48"/>
  <c r="I23" i="48"/>
  <c r="J23" i="48" s="1"/>
  <c r="F23" i="48"/>
  <c r="E23" i="48"/>
  <c r="G23" i="48" s="1"/>
  <c r="L22" i="48"/>
  <c r="I22" i="48"/>
  <c r="J22" i="48" s="1"/>
  <c r="F22" i="48"/>
  <c r="E22" i="48"/>
  <c r="G22" i="48" s="1"/>
  <c r="L21" i="48"/>
  <c r="I21" i="48"/>
  <c r="F21" i="48"/>
  <c r="E21" i="48"/>
  <c r="G21" i="48" s="1"/>
  <c r="L20" i="48"/>
  <c r="L44" i="48" s="1"/>
  <c r="I20" i="48"/>
  <c r="J20" i="48" s="1"/>
  <c r="G20" i="48"/>
  <c r="F20" i="48"/>
  <c r="E20" i="48"/>
  <c r="Q19" i="48"/>
  <c r="I19" i="48"/>
  <c r="K18" i="48"/>
  <c r="I18" i="48"/>
  <c r="R17" i="48"/>
  <c r="R15" i="48"/>
  <c r="R13" i="48"/>
  <c r="C12" i="48"/>
  <c r="R11" i="48"/>
  <c r="Q6" i="48"/>
  <c r="Q5" i="48"/>
  <c r="L41" i="47"/>
  <c r="I41" i="47"/>
  <c r="F41" i="47"/>
  <c r="E41" i="47"/>
  <c r="G41" i="47" s="1"/>
  <c r="L40" i="47"/>
  <c r="I40" i="47"/>
  <c r="F40" i="47"/>
  <c r="E40" i="47"/>
  <c r="G40" i="47" s="1"/>
  <c r="L39" i="47"/>
  <c r="I39" i="47"/>
  <c r="F39" i="47"/>
  <c r="E39" i="47"/>
  <c r="G39" i="47" s="1"/>
  <c r="L38" i="47"/>
  <c r="I38" i="47"/>
  <c r="J38" i="47" s="1"/>
  <c r="F38" i="47"/>
  <c r="E38" i="47"/>
  <c r="G38" i="47" s="1"/>
  <c r="L37" i="47"/>
  <c r="I37" i="47"/>
  <c r="J37" i="47" s="1"/>
  <c r="F37" i="47"/>
  <c r="E37" i="47"/>
  <c r="G37" i="47" s="1"/>
  <c r="L36" i="47"/>
  <c r="I36" i="47"/>
  <c r="J36" i="47" s="1"/>
  <c r="F36" i="47"/>
  <c r="E36" i="47"/>
  <c r="G36" i="47" s="1"/>
  <c r="L35" i="47"/>
  <c r="I35" i="47"/>
  <c r="J35" i="47" s="1"/>
  <c r="F35" i="47"/>
  <c r="E35" i="47"/>
  <c r="G35" i="47" s="1"/>
  <c r="L34" i="47"/>
  <c r="I34" i="47"/>
  <c r="J34" i="47" s="1"/>
  <c r="F34" i="47"/>
  <c r="E34" i="47"/>
  <c r="G34" i="47" s="1"/>
  <c r="L33" i="47"/>
  <c r="J33" i="47"/>
  <c r="I33" i="47"/>
  <c r="F33" i="47"/>
  <c r="E33" i="47"/>
  <c r="G33" i="47" s="1"/>
  <c r="L32" i="47"/>
  <c r="I32" i="47"/>
  <c r="F32" i="47"/>
  <c r="E32" i="47"/>
  <c r="G32" i="47" s="1"/>
  <c r="L31" i="47"/>
  <c r="I31" i="47"/>
  <c r="F31" i="47"/>
  <c r="E31" i="47"/>
  <c r="L30" i="47"/>
  <c r="I30" i="47"/>
  <c r="J30" i="47" s="1"/>
  <c r="F30" i="47"/>
  <c r="E30" i="47"/>
  <c r="L29" i="47"/>
  <c r="I29" i="47"/>
  <c r="F29" i="47"/>
  <c r="E29" i="47"/>
  <c r="L28" i="47"/>
  <c r="I28" i="47"/>
  <c r="J28" i="47" s="1"/>
  <c r="F28" i="47"/>
  <c r="E28" i="47"/>
  <c r="G28" i="47" s="1"/>
  <c r="L27" i="47"/>
  <c r="J27" i="47"/>
  <c r="I27" i="47"/>
  <c r="F27" i="47"/>
  <c r="E27" i="47"/>
  <c r="G27" i="47" s="1"/>
  <c r="Q26" i="47"/>
  <c r="R26" i="47" s="1"/>
  <c r="L26" i="47"/>
  <c r="I26" i="47"/>
  <c r="F26" i="47"/>
  <c r="E26" i="47"/>
  <c r="G26" i="47" s="1"/>
  <c r="Q25" i="47"/>
  <c r="L25" i="47"/>
  <c r="I25" i="47"/>
  <c r="J25" i="47" s="1"/>
  <c r="F25" i="47"/>
  <c r="E25" i="47"/>
  <c r="G25" i="47" s="1"/>
  <c r="L24" i="47"/>
  <c r="I24" i="47"/>
  <c r="F24" i="47"/>
  <c r="E24" i="47"/>
  <c r="R23" i="47"/>
  <c r="L23" i="47"/>
  <c r="I23" i="47"/>
  <c r="J23" i="47" s="1"/>
  <c r="G23" i="47"/>
  <c r="F23" i="47"/>
  <c r="E23" i="47"/>
  <c r="L22" i="47"/>
  <c r="I22" i="47"/>
  <c r="F22" i="47"/>
  <c r="E22" i="47"/>
  <c r="L21" i="47"/>
  <c r="I21" i="47"/>
  <c r="J21" i="47" s="1"/>
  <c r="F21" i="47"/>
  <c r="E21" i="47"/>
  <c r="G21" i="47" s="1"/>
  <c r="L20" i="47"/>
  <c r="L44" i="47" s="1"/>
  <c r="I20" i="47"/>
  <c r="J20" i="47" s="1"/>
  <c r="F20" i="47"/>
  <c r="E20" i="47"/>
  <c r="G20" i="47" s="1"/>
  <c r="Q19" i="47"/>
  <c r="I19" i="47"/>
  <c r="K18" i="47"/>
  <c r="I18" i="47"/>
  <c r="R17" i="47"/>
  <c r="R15" i="47"/>
  <c r="R13" i="47"/>
  <c r="C12" i="47"/>
  <c r="R11" i="47"/>
  <c r="Q6" i="47"/>
  <c r="Q5" i="47"/>
  <c r="L41" i="46"/>
  <c r="I41" i="46"/>
  <c r="F41" i="46"/>
  <c r="E41" i="46"/>
  <c r="G41" i="46" s="1"/>
  <c r="L40" i="46"/>
  <c r="I40" i="46"/>
  <c r="F40" i="46"/>
  <c r="E40" i="46"/>
  <c r="G40" i="46" s="1"/>
  <c r="L39" i="46"/>
  <c r="I39" i="46"/>
  <c r="F39" i="46"/>
  <c r="E39" i="46"/>
  <c r="G39" i="46" s="1"/>
  <c r="L38" i="46"/>
  <c r="I38" i="46"/>
  <c r="J38" i="46" s="1"/>
  <c r="F38" i="46"/>
  <c r="E38" i="46"/>
  <c r="G38" i="46" s="1"/>
  <c r="L37" i="46"/>
  <c r="I37" i="46"/>
  <c r="J37" i="46" s="1"/>
  <c r="F37" i="46"/>
  <c r="E37" i="46"/>
  <c r="G37" i="46" s="1"/>
  <c r="L36" i="46"/>
  <c r="I36" i="46"/>
  <c r="F36" i="46"/>
  <c r="E36" i="46"/>
  <c r="G36" i="46" s="1"/>
  <c r="L35" i="46"/>
  <c r="I35" i="46"/>
  <c r="F35" i="46"/>
  <c r="E35" i="46"/>
  <c r="G35" i="46" s="1"/>
  <c r="L34" i="46"/>
  <c r="I34" i="46"/>
  <c r="J34" i="46" s="1"/>
  <c r="F34" i="46"/>
  <c r="E34" i="46"/>
  <c r="G34" i="46" s="1"/>
  <c r="L33" i="46"/>
  <c r="I33" i="46"/>
  <c r="J33" i="46" s="1"/>
  <c r="G33" i="46"/>
  <c r="F33" i="46"/>
  <c r="E33" i="46"/>
  <c r="L32" i="46"/>
  <c r="I32" i="46"/>
  <c r="F32" i="46"/>
  <c r="E32" i="46"/>
  <c r="G32" i="46" s="1"/>
  <c r="L31" i="46"/>
  <c r="I31" i="46"/>
  <c r="J32" i="46" s="1"/>
  <c r="F31" i="46"/>
  <c r="E31" i="46"/>
  <c r="G31" i="46" s="1"/>
  <c r="L30" i="46"/>
  <c r="I30" i="46"/>
  <c r="F30" i="46"/>
  <c r="E30" i="46"/>
  <c r="G30" i="46" s="1"/>
  <c r="L29" i="46"/>
  <c r="I29" i="46"/>
  <c r="J30" i="46" s="1"/>
  <c r="F29" i="46"/>
  <c r="E29" i="46"/>
  <c r="G29" i="46" s="1"/>
  <c r="L28" i="46"/>
  <c r="I28" i="46"/>
  <c r="J28" i="46" s="1"/>
  <c r="F28" i="46"/>
  <c r="E28" i="46"/>
  <c r="G28" i="46" s="1"/>
  <c r="L27" i="46"/>
  <c r="I27" i="46"/>
  <c r="F27" i="46"/>
  <c r="E27" i="46"/>
  <c r="G27" i="46" s="1"/>
  <c r="L26" i="46"/>
  <c r="I26" i="46"/>
  <c r="J26" i="46" s="1"/>
  <c r="F26" i="46"/>
  <c r="E26" i="46"/>
  <c r="G26" i="46" s="1"/>
  <c r="Q25" i="46"/>
  <c r="Q26" i="46" s="1"/>
  <c r="R26" i="46" s="1"/>
  <c r="L25" i="46"/>
  <c r="I25" i="46"/>
  <c r="J25" i="46" s="1"/>
  <c r="F25" i="46"/>
  <c r="E25" i="46"/>
  <c r="L24" i="46"/>
  <c r="I24" i="46"/>
  <c r="F24" i="46"/>
  <c r="E24" i="46"/>
  <c r="G24" i="46" s="1"/>
  <c r="R23" i="46"/>
  <c r="L23" i="46"/>
  <c r="I23" i="46"/>
  <c r="J23" i="46" s="1"/>
  <c r="F23" i="46"/>
  <c r="E23" i="46"/>
  <c r="G23" i="46" s="1"/>
  <c r="L22" i="46"/>
  <c r="I22" i="46"/>
  <c r="F22" i="46"/>
  <c r="E22" i="46"/>
  <c r="G22" i="46" s="1"/>
  <c r="L21" i="46"/>
  <c r="I21" i="46"/>
  <c r="J21" i="46" s="1"/>
  <c r="F21" i="46"/>
  <c r="E21" i="46"/>
  <c r="G21" i="46" s="1"/>
  <c r="L20" i="46"/>
  <c r="L44" i="46" s="1"/>
  <c r="I20" i="46"/>
  <c r="F20" i="46"/>
  <c r="E20" i="46"/>
  <c r="Q19" i="46"/>
  <c r="I19" i="46"/>
  <c r="K18" i="46"/>
  <c r="I18" i="46"/>
  <c r="R17" i="46"/>
  <c r="R15" i="46"/>
  <c r="R13" i="46"/>
  <c r="C12" i="46"/>
  <c r="R11" i="46"/>
  <c r="Q6" i="46"/>
  <c r="Q5" i="46"/>
  <c r="L41" i="45"/>
  <c r="I41" i="45"/>
  <c r="F41" i="45"/>
  <c r="E41" i="45"/>
  <c r="G41" i="45" s="1"/>
  <c r="L40" i="45"/>
  <c r="I40" i="45"/>
  <c r="J40" i="45" s="1"/>
  <c r="F40" i="45"/>
  <c r="E40" i="45"/>
  <c r="L39" i="45"/>
  <c r="I39" i="45"/>
  <c r="F39" i="45"/>
  <c r="E39" i="45"/>
  <c r="G39" i="45" s="1"/>
  <c r="L38" i="45"/>
  <c r="I38" i="45"/>
  <c r="J39" i="45" s="1"/>
  <c r="F38" i="45"/>
  <c r="E38" i="45"/>
  <c r="G38" i="45" s="1"/>
  <c r="L37" i="45"/>
  <c r="I37" i="45"/>
  <c r="J37" i="45" s="1"/>
  <c r="F37" i="45"/>
  <c r="E37" i="45"/>
  <c r="G37" i="45" s="1"/>
  <c r="L36" i="45"/>
  <c r="I36" i="45"/>
  <c r="F36" i="45"/>
  <c r="E36" i="45"/>
  <c r="L35" i="45"/>
  <c r="I35" i="45"/>
  <c r="J36" i="45" s="1"/>
  <c r="F35" i="45"/>
  <c r="E35" i="45"/>
  <c r="G35" i="45" s="1"/>
  <c r="L34" i="45"/>
  <c r="I34" i="45"/>
  <c r="F34" i="45"/>
  <c r="E34" i="45"/>
  <c r="G34" i="45" s="1"/>
  <c r="L33" i="45"/>
  <c r="I33" i="45"/>
  <c r="F33" i="45"/>
  <c r="E33" i="45"/>
  <c r="G33" i="45" s="1"/>
  <c r="L32" i="45"/>
  <c r="I32" i="45"/>
  <c r="F32" i="45"/>
  <c r="E32" i="45"/>
  <c r="L31" i="45"/>
  <c r="I31" i="45"/>
  <c r="F31" i="45"/>
  <c r="E31" i="45"/>
  <c r="G31" i="45" s="1"/>
  <c r="L30" i="45"/>
  <c r="I30" i="45"/>
  <c r="J30" i="45" s="1"/>
  <c r="F30" i="45"/>
  <c r="E30" i="45"/>
  <c r="G30" i="45" s="1"/>
  <c r="L29" i="45"/>
  <c r="I29" i="45"/>
  <c r="F29" i="45"/>
  <c r="E29" i="45"/>
  <c r="L28" i="45"/>
  <c r="I28" i="45"/>
  <c r="F28" i="45"/>
  <c r="E28" i="45"/>
  <c r="G28" i="45" s="1"/>
  <c r="L27" i="45"/>
  <c r="I27" i="45"/>
  <c r="F27" i="45"/>
  <c r="E27" i="45"/>
  <c r="G27" i="45" s="1"/>
  <c r="Q26" i="45"/>
  <c r="R26" i="45" s="1"/>
  <c r="L26" i="45"/>
  <c r="I26" i="45"/>
  <c r="F26" i="45"/>
  <c r="E26" i="45"/>
  <c r="G26" i="45" s="1"/>
  <c r="Q25" i="45"/>
  <c r="L25" i="45"/>
  <c r="I25" i="45"/>
  <c r="F25" i="45"/>
  <c r="E25" i="45"/>
  <c r="G25" i="45" s="1"/>
  <c r="L24" i="45"/>
  <c r="I24" i="45"/>
  <c r="J24" i="45" s="1"/>
  <c r="F24" i="45"/>
  <c r="E24" i="45"/>
  <c r="G24" i="45" s="1"/>
  <c r="R23" i="45"/>
  <c r="L23" i="45"/>
  <c r="I23" i="45"/>
  <c r="F23" i="45"/>
  <c r="E23" i="45"/>
  <c r="G23" i="45" s="1"/>
  <c r="L22" i="45"/>
  <c r="I22" i="45"/>
  <c r="F22" i="45"/>
  <c r="E22" i="45"/>
  <c r="L21" i="45"/>
  <c r="I21" i="45"/>
  <c r="F21" i="45"/>
  <c r="E21" i="45"/>
  <c r="G21" i="45" s="1"/>
  <c r="L20" i="45"/>
  <c r="L44" i="45" s="1"/>
  <c r="I20" i="45"/>
  <c r="F20" i="45"/>
  <c r="E20" i="45"/>
  <c r="G20" i="45" s="1"/>
  <c r="Q19" i="45"/>
  <c r="I19" i="45"/>
  <c r="K18" i="45"/>
  <c r="I18" i="45"/>
  <c r="R17" i="45"/>
  <c r="R15" i="45"/>
  <c r="R13" i="45"/>
  <c r="C12" i="45"/>
  <c r="R11" i="45"/>
  <c r="Q6" i="45"/>
  <c r="Q5" i="45"/>
  <c r="L41" i="44"/>
  <c r="I41" i="44"/>
  <c r="F41" i="44"/>
  <c r="E41" i="44"/>
  <c r="G41" i="44" s="1"/>
  <c r="L40" i="44"/>
  <c r="I40" i="44"/>
  <c r="J40" i="44" s="1"/>
  <c r="F40" i="44"/>
  <c r="E40" i="44"/>
  <c r="G40" i="44" s="1"/>
  <c r="L39" i="44"/>
  <c r="I39" i="44"/>
  <c r="F39" i="44"/>
  <c r="E39" i="44"/>
  <c r="L38" i="44"/>
  <c r="I38" i="44"/>
  <c r="J38" i="44" s="1"/>
  <c r="F38" i="44"/>
  <c r="E38" i="44"/>
  <c r="G38" i="44" s="1"/>
  <c r="L37" i="44"/>
  <c r="I37" i="44"/>
  <c r="F37" i="44"/>
  <c r="E37" i="44"/>
  <c r="G37" i="44" s="1"/>
  <c r="L36" i="44"/>
  <c r="I36" i="44"/>
  <c r="F36" i="44"/>
  <c r="E36" i="44"/>
  <c r="G36" i="44" s="1"/>
  <c r="L35" i="44"/>
  <c r="I35" i="44"/>
  <c r="F35" i="44"/>
  <c r="E35" i="44"/>
  <c r="L34" i="44"/>
  <c r="I34" i="44"/>
  <c r="F34" i="44"/>
  <c r="E34" i="44"/>
  <c r="G34" i="44" s="1"/>
  <c r="L33" i="44"/>
  <c r="I33" i="44"/>
  <c r="J34" i="44" s="1"/>
  <c r="G33" i="44"/>
  <c r="F33" i="44"/>
  <c r="E33" i="44"/>
  <c r="L32" i="44"/>
  <c r="I32" i="44"/>
  <c r="F32" i="44"/>
  <c r="E32" i="44"/>
  <c r="G32" i="44" s="1"/>
  <c r="L31" i="44"/>
  <c r="I31" i="44"/>
  <c r="J31" i="44" s="1"/>
  <c r="F31" i="44"/>
  <c r="E31" i="44"/>
  <c r="G31" i="44" s="1"/>
  <c r="L30" i="44"/>
  <c r="I30" i="44"/>
  <c r="J30" i="44" s="1"/>
  <c r="F30" i="44"/>
  <c r="E30" i="44"/>
  <c r="G30" i="44" s="1"/>
  <c r="L29" i="44"/>
  <c r="I29" i="44"/>
  <c r="F29" i="44"/>
  <c r="E29" i="44"/>
  <c r="G29" i="44" s="1"/>
  <c r="L28" i="44"/>
  <c r="I28" i="44"/>
  <c r="J29" i="44" s="1"/>
  <c r="F28" i="44"/>
  <c r="E28" i="44"/>
  <c r="G28" i="44" s="1"/>
  <c r="L27" i="44"/>
  <c r="I27" i="44"/>
  <c r="F27" i="44"/>
  <c r="E27" i="44"/>
  <c r="G27" i="44" s="1"/>
  <c r="Q26" i="44"/>
  <c r="R26" i="44" s="1"/>
  <c r="L26" i="44"/>
  <c r="I26" i="44"/>
  <c r="J27" i="44" s="1"/>
  <c r="F26" i="44"/>
  <c r="E26" i="44"/>
  <c r="G26" i="44" s="1"/>
  <c r="Q25" i="44"/>
  <c r="L25" i="44"/>
  <c r="J25" i="44"/>
  <c r="I25" i="44"/>
  <c r="J26" i="44" s="1"/>
  <c r="F25" i="44"/>
  <c r="E25" i="44"/>
  <c r="G25" i="44" s="1"/>
  <c r="L24" i="44"/>
  <c r="I24" i="44"/>
  <c r="F24" i="44"/>
  <c r="E24" i="44"/>
  <c r="G24" i="44" s="1"/>
  <c r="R23" i="44"/>
  <c r="L23" i="44"/>
  <c r="I23" i="44"/>
  <c r="J23" i="44" s="1"/>
  <c r="F23" i="44"/>
  <c r="E23" i="44"/>
  <c r="L22" i="44"/>
  <c r="I22" i="44"/>
  <c r="F22" i="44"/>
  <c r="E22" i="44"/>
  <c r="G22" i="44" s="1"/>
  <c r="L21" i="44"/>
  <c r="I21" i="44"/>
  <c r="J22" i="44" s="1"/>
  <c r="F21" i="44"/>
  <c r="E21" i="44"/>
  <c r="G21" i="44" s="1"/>
  <c r="L20" i="44"/>
  <c r="L44" i="44" s="1"/>
  <c r="J20" i="44"/>
  <c r="I20" i="44"/>
  <c r="F20" i="44"/>
  <c r="E20" i="44"/>
  <c r="G20" i="44" s="1"/>
  <c r="Q19" i="44"/>
  <c r="I19" i="44"/>
  <c r="K18" i="44"/>
  <c r="I18" i="44"/>
  <c r="R17" i="44"/>
  <c r="R15" i="44"/>
  <c r="R13" i="44"/>
  <c r="C12" i="44"/>
  <c r="R11" i="44"/>
  <c r="Q6" i="44"/>
  <c r="Q5" i="44"/>
  <c r="L41" i="43"/>
  <c r="I41" i="43"/>
  <c r="F41" i="43"/>
  <c r="E41" i="43"/>
  <c r="G41" i="43" s="1"/>
  <c r="L40" i="43"/>
  <c r="I40" i="43"/>
  <c r="F40" i="43"/>
  <c r="E40" i="43"/>
  <c r="L39" i="43"/>
  <c r="I39" i="43"/>
  <c r="F39" i="43"/>
  <c r="E39" i="43"/>
  <c r="G39" i="43" s="1"/>
  <c r="L38" i="43"/>
  <c r="I38" i="43"/>
  <c r="J39" i="43" s="1"/>
  <c r="F38" i="43"/>
  <c r="E38" i="43"/>
  <c r="L37" i="43"/>
  <c r="I37" i="43"/>
  <c r="F37" i="43"/>
  <c r="E37" i="43"/>
  <c r="L36" i="43"/>
  <c r="I36" i="43"/>
  <c r="F36" i="43"/>
  <c r="E36" i="43"/>
  <c r="L35" i="43"/>
  <c r="I35" i="43"/>
  <c r="F35" i="43"/>
  <c r="E35" i="43"/>
  <c r="L34" i="43"/>
  <c r="I34" i="43"/>
  <c r="F34" i="43"/>
  <c r="E34" i="43"/>
  <c r="L33" i="43"/>
  <c r="I33" i="43"/>
  <c r="F33" i="43"/>
  <c r="E33" i="43"/>
  <c r="L32" i="43"/>
  <c r="I32" i="43"/>
  <c r="F32" i="43"/>
  <c r="E32" i="43"/>
  <c r="L31" i="43"/>
  <c r="I31" i="43"/>
  <c r="F31" i="43"/>
  <c r="E31" i="43"/>
  <c r="L30" i="43"/>
  <c r="I30" i="43"/>
  <c r="F30" i="43"/>
  <c r="E30" i="43"/>
  <c r="L29" i="43"/>
  <c r="I29" i="43"/>
  <c r="F29" i="43"/>
  <c r="E29" i="43"/>
  <c r="L28" i="43"/>
  <c r="I28" i="43"/>
  <c r="F28" i="43"/>
  <c r="E28" i="43"/>
  <c r="L27" i="43"/>
  <c r="I27" i="43"/>
  <c r="F27" i="43"/>
  <c r="E27" i="43"/>
  <c r="L26" i="43"/>
  <c r="I26" i="43"/>
  <c r="F26" i="43"/>
  <c r="E26" i="43"/>
  <c r="Q25" i="43"/>
  <c r="Q26" i="43" s="1"/>
  <c r="L25" i="43"/>
  <c r="I25" i="43"/>
  <c r="F25" i="43"/>
  <c r="E25" i="43"/>
  <c r="L24" i="43"/>
  <c r="I24" i="43"/>
  <c r="F24" i="43"/>
  <c r="E24" i="43"/>
  <c r="R23" i="43"/>
  <c r="L23" i="43"/>
  <c r="I23" i="43"/>
  <c r="F23" i="43"/>
  <c r="E23" i="43"/>
  <c r="G23" i="43" s="1"/>
  <c r="L22" i="43"/>
  <c r="I22" i="43"/>
  <c r="F22" i="43"/>
  <c r="E22" i="43"/>
  <c r="L21" i="43"/>
  <c r="I21" i="43"/>
  <c r="J21" i="43" s="1"/>
  <c r="F21" i="43"/>
  <c r="E21" i="43"/>
  <c r="G21" i="43" s="1"/>
  <c r="L20" i="43"/>
  <c r="I20" i="43"/>
  <c r="F20" i="43"/>
  <c r="E20" i="43"/>
  <c r="G20" i="43" s="1"/>
  <c r="Q19" i="43"/>
  <c r="I19" i="43"/>
  <c r="K18" i="43"/>
  <c r="I18" i="43"/>
  <c r="R17" i="43"/>
  <c r="R15" i="43"/>
  <c r="R13" i="43"/>
  <c r="C12" i="43"/>
  <c r="R11" i="43"/>
  <c r="Q6" i="43"/>
  <c r="Q5" i="43"/>
  <c r="L41" i="42"/>
  <c r="I41" i="42"/>
  <c r="F41" i="42"/>
  <c r="E41" i="42"/>
  <c r="G41" i="42" s="1"/>
  <c r="L40" i="42"/>
  <c r="I40" i="42"/>
  <c r="F40" i="42"/>
  <c r="G40" i="42" s="1"/>
  <c r="E40" i="42"/>
  <c r="L39" i="42"/>
  <c r="I39" i="42"/>
  <c r="F39" i="42"/>
  <c r="E39" i="42"/>
  <c r="G39" i="42" s="1"/>
  <c r="L38" i="42"/>
  <c r="I38" i="42"/>
  <c r="J39" i="42" s="1"/>
  <c r="G38" i="42"/>
  <c r="F38" i="42"/>
  <c r="E38" i="42"/>
  <c r="L37" i="42"/>
  <c r="I37" i="42"/>
  <c r="F37" i="42"/>
  <c r="E37" i="42"/>
  <c r="G37" i="42" s="1"/>
  <c r="L36" i="42"/>
  <c r="I36" i="42"/>
  <c r="F36" i="42"/>
  <c r="E36" i="42"/>
  <c r="L35" i="42"/>
  <c r="J35" i="42"/>
  <c r="I35" i="42"/>
  <c r="J36" i="42" s="1"/>
  <c r="F35" i="42"/>
  <c r="E35" i="42"/>
  <c r="G35" i="42" s="1"/>
  <c r="L34" i="42"/>
  <c r="I34" i="42"/>
  <c r="F34" i="42"/>
  <c r="E34" i="42"/>
  <c r="G34" i="42" s="1"/>
  <c r="L33" i="42"/>
  <c r="I33" i="42"/>
  <c r="J33" i="42" s="1"/>
  <c r="F33" i="42"/>
  <c r="E33" i="42"/>
  <c r="G33" i="42" s="1"/>
  <c r="L32" i="42"/>
  <c r="I32" i="42"/>
  <c r="F32" i="42"/>
  <c r="E32" i="42"/>
  <c r="L31" i="42"/>
  <c r="I31" i="42"/>
  <c r="J32" i="42" s="1"/>
  <c r="F31" i="42"/>
  <c r="E31" i="42"/>
  <c r="G31" i="42" s="1"/>
  <c r="L30" i="42"/>
  <c r="I30" i="42"/>
  <c r="F30" i="42"/>
  <c r="E30" i="42"/>
  <c r="G30" i="42" s="1"/>
  <c r="L29" i="42"/>
  <c r="I29" i="42"/>
  <c r="J29" i="42" s="1"/>
  <c r="G29" i="42"/>
  <c r="F29" i="42"/>
  <c r="E29" i="42"/>
  <c r="L28" i="42"/>
  <c r="I28" i="42"/>
  <c r="F28" i="42"/>
  <c r="E28" i="42"/>
  <c r="G28" i="42" s="1"/>
  <c r="L27" i="42"/>
  <c r="I27" i="42"/>
  <c r="F27" i="42"/>
  <c r="E27" i="42"/>
  <c r="G27" i="42" s="1"/>
  <c r="L26" i="42"/>
  <c r="I26" i="42"/>
  <c r="J26" i="42" s="1"/>
  <c r="F26" i="42"/>
  <c r="E26" i="42"/>
  <c r="G26" i="42" s="1"/>
  <c r="Q25" i="42"/>
  <c r="Q26" i="42" s="1"/>
  <c r="R26" i="42" s="1"/>
  <c r="L25" i="42"/>
  <c r="I25" i="42"/>
  <c r="F25" i="42"/>
  <c r="E25" i="42"/>
  <c r="G25" i="42" s="1"/>
  <c r="L24" i="42"/>
  <c r="I24" i="42"/>
  <c r="F24" i="42"/>
  <c r="E24" i="42"/>
  <c r="G24" i="42" s="1"/>
  <c r="R23" i="42"/>
  <c r="L23" i="42"/>
  <c r="I23" i="42"/>
  <c r="F23" i="42"/>
  <c r="E23" i="42"/>
  <c r="G23" i="42" s="1"/>
  <c r="L22" i="42"/>
  <c r="I22" i="42"/>
  <c r="F22" i="42"/>
  <c r="E22" i="42"/>
  <c r="G22" i="42" s="1"/>
  <c r="L21" i="42"/>
  <c r="L44" i="42" s="1"/>
  <c r="I21" i="42"/>
  <c r="J21" i="42" s="1"/>
  <c r="F21" i="42"/>
  <c r="E21" i="42"/>
  <c r="G21" i="42" s="1"/>
  <c r="L20" i="42"/>
  <c r="I20" i="42"/>
  <c r="F20" i="42"/>
  <c r="E20" i="42"/>
  <c r="G20" i="42" s="1"/>
  <c r="Q19" i="42"/>
  <c r="I19" i="42"/>
  <c r="K18" i="42"/>
  <c r="I18" i="42"/>
  <c r="R17" i="42"/>
  <c r="R15" i="42"/>
  <c r="R13" i="42"/>
  <c r="C12" i="42"/>
  <c r="R11" i="42"/>
  <c r="Q6" i="42"/>
  <c r="Q5" i="42"/>
  <c r="L41" i="41"/>
  <c r="I41" i="41"/>
  <c r="F41" i="41"/>
  <c r="E41" i="41"/>
  <c r="G41" i="41" s="1"/>
  <c r="L40" i="41"/>
  <c r="I40" i="41"/>
  <c r="J41" i="41" s="1"/>
  <c r="F40" i="41"/>
  <c r="E40" i="41"/>
  <c r="G40" i="41" s="1"/>
  <c r="L39" i="41"/>
  <c r="I39" i="41"/>
  <c r="J39" i="41" s="1"/>
  <c r="F39" i="41"/>
  <c r="E39" i="41"/>
  <c r="G39" i="41" s="1"/>
  <c r="L38" i="41"/>
  <c r="J38" i="41"/>
  <c r="I38" i="41"/>
  <c r="F38" i="41"/>
  <c r="E38" i="41"/>
  <c r="L37" i="41"/>
  <c r="I37" i="41"/>
  <c r="J37" i="41" s="1"/>
  <c r="G37" i="41"/>
  <c r="F37" i="41"/>
  <c r="E37" i="41"/>
  <c r="L36" i="41"/>
  <c r="I36" i="41"/>
  <c r="F36" i="41"/>
  <c r="E36" i="41"/>
  <c r="G36" i="41" s="1"/>
  <c r="L35" i="41"/>
  <c r="I35" i="41"/>
  <c r="J35" i="41" s="1"/>
  <c r="F35" i="41"/>
  <c r="E35" i="41"/>
  <c r="G35" i="41" s="1"/>
  <c r="L34" i="41"/>
  <c r="I34" i="41"/>
  <c r="F34" i="41"/>
  <c r="E34" i="41"/>
  <c r="L33" i="41"/>
  <c r="I33" i="41"/>
  <c r="J34" i="41" s="1"/>
  <c r="F33" i="41"/>
  <c r="E33" i="41"/>
  <c r="G33" i="41" s="1"/>
  <c r="L32" i="41"/>
  <c r="I32" i="41"/>
  <c r="F32" i="41"/>
  <c r="E32" i="41"/>
  <c r="G32" i="41" s="1"/>
  <c r="L31" i="41"/>
  <c r="I31" i="41"/>
  <c r="F31" i="41"/>
  <c r="E31" i="41"/>
  <c r="G31" i="41" s="1"/>
  <c r="L30" i="41"/>
  <c r="J30" i="41"/>
  <c r="I30" i="41"/>
  <c r="J31" i="41" s="1"/>
  <c r="F30" i="41"/>
  <c r="E30" i="41"/>
  <c r="G30" i="41" s="1"/>
  <c r="L29" i="41"/>
  <c r="I29" i="41"/>
  <c r="F29" i="41"/>
  <c r="E29" i="41"/>
  <c r="G29" i="41" s="1"/>
  <c r="L28" i="41"/>
  <c r="I28" i="41"/>
  <c r="J29" i="41" s="1"/>
  <c r="F28" i="41"/>
  <c r="E28" i="41"/>
  <c r="L27" i="41"/>
  <c r="I27" i="41"/>
  <c r="J28" i="41" s="1"/>
  <c r="F27" i="41"/>
  <c r="E27" i="41"/>
  <c r="G27" i="41" s="1"/>
  <c r="L26" i="41"/>
  <c r="I26" i="41"/>
  <c r="F26" i="41"/>
  <c r="E26" i="41"/>
  <c r="G26" i="41" s="1"/>
  <c r="Q25" i="41"/>
  <c r="Q26" i="41" s="1"/>
  <c r="R26" i="41" s="1"/>
  <c r="L25" i="41"/>
  <c r="I25" i="41"/>
  <c r="J26" i="41" s="1"/>
  <c r="F25" i="41"/>
  <c r="E25" i="41"/>
  <c r="L24" i="41"/>
  <c r="I24" i="41"/>
  <c r="F24" i="41"/>
  <c r="E24" i="41"/>
  <c r="G24" i="41" s="1"/>
  <c r="R23" i="41"/>
  <c r="L23" i="41"/>
  <c r="I23" i="41"/>
  <c r="F23" i="41"/>
  <c r="E23" i="41"/>
  <c r="G23" i="41" s="1"/>
  <c r="L22" i="41"/>
  <c r="I22" i="41"/>
  <c r="G22" i="41"/>
  <c r="F22" i="41"/>
  <c r="E22" i="41"/>
  <c r="L21" i="41"/>
  <c r="I21" i="41"/>
  <c r="F21" i="41"/>
  <c r="E21" i="41"/>
  <c r="G21" i="41" s="1"/>
  <c r="L20" i="41"/>
  <c r="L44" i="41" s="1"/>
  <c r="I20" i="41"/>
  <c r="F20" i="41"/>
  <c r="E20" i="41"/>
  <c r="Q19" i="41"/>
  <c r="I19" i="41"/>
  <c r="K18" i="41"/>
  <c r="I18" i="41"/>
  <c r="R17" i="41"/>
  <c r="R15" i="41"/>
  <c r="R13" i="41"/>
  <c r="C12" i="41"/>
  <c r="R11" i="41"/>
  <c r="Q6" i="41"/>
  <c r="Q5" i="41"/>
  <c r="L41" i="40"/>
  <c r="I41" i="40"/>
  <c r="F41" i="40"/>
  <c r="E41" i="40"/>
  <c r="G41" i="40" s="1"/>
  <c r="L40" i="40"/>
  <c r="I40" i="40"/>
  <c r="F40" i="40"/>
  <c r="E40" i="40"/>
  <c r="G40" i="40" s="1"/>
  <c r="L39" i="40"/>
  <c r="I39" i="40"/>
  <c r="F39" i="40"/>
  <c r="E39" i="40"/>
  <c r="G39" i="40" s="1"/>
  <c r="L38" i="40"/>
  <c r="I38" i="40"/>
  <c r="J39" i="40" s="1"/>
  <c r="F38" i="40"/>
  <c r="E38" i="40"/>
  <c r="G38" i="40" s="1"/>
  <c r="L37" i="40"/>
  <c r="I37" i="40"/>
  <c r="J37" i="40" s="1"/>
  <c r="F37" i="40"/>
  <c r="E37" i="40"/>
  <c r="G37" i="40" s="1"/>
  <c r="L36" i="40"/>
  <c r="I36" i="40"/>
  <c r="J36" i="40" s="1"/>
  <c r="F36" i="40"/>
  <c r="E36" i="40"/>
  <c r="G36" i="40" s="1"/>
  <c r="L35" i="40"/>
  <c r="I35" i="40"/>
  <c r="J35" i="40" s="1"/>
  <c r="G35" i="40"/>
  <c r="F35" i="40"/>
  <c r="E35" i="40"/>
  <c r="L34" i="40"/>
  <c r="I34" i="40"/>
  <c r="F34" i="40"/>
  <c r="E34" i="40"/>
  <c r="G34" i="40" s="1"/>
  <c r="L33" i="40"/>
  <c r="I33" i="40"/>
  <c r="F33" i="40"/>
  <c r="E33" i="40"/>
  <c r="G33" i="40" s="1"/>
  <c r="L32" i="40"/>
  <c r="I32" i="40"/>
  <c r="F32" i="40"/>
  <c r="E32" i="40"/>
  <c r="G32" i="40" s="1"/>
  <c r="L31" i="40"/>
  <c r="I31" i="40"/>
  <c r="F31" i="40"/>
  <c r="E31" i="40"/>
  <c r="G31" i="40" s="1"/>
  <c r="L30" i="40"/>
  <c r="I30" i="40"/>
  <c r="F30" i="40"/>
  <c r="E30" i="40"/>
  <c r="G30" i="40" s="1"/>
  <c r="L29" i="40"/>
  <c r="I29" i="40"/>
  <c r="F29" i="40"/>
  <c r="E29" i="40"/>
  <c r="L28" i="40"/>
  <c r="I28" i="40"/>
  <c r="F28" i="40"/>
  <c r="E28" i="40"/>
  <c r="G28" i="40" s="1"/>
  <c r="L27" i="40"/>
  <c r="I27" i="40"/>
  <c r="F27" i="40"/>
  <c r="E27" i="40"/>
  <c r="G27" i="40" s="1"/>
  <c r="Q26" i="40"/>
  <c r="R26" i="40" s="1"/>
  <c r="L26" i="40"/>
  <c r="I26" i="40"/>
  <c r="J26" i="40" s="1"/>
  <c r="F26" i="40"/>
  <c r="E26" i="40"/>
  <c r="G26" i="40" s="1"/>
  <c r="Q25" i="40"/>
  <c r="L25" i="40"/>
  <c r="I25" i="40"/>
  <c r="J25" i="40" s="1"/>
  <c r="F25" i="40"/>
  <c r="E25" i="40"/>
  <c r="G25" i="40" s="1"/>
  <c r="L24" i="40"/>
  <c r="I24" i="40"/>
  <c r="F24" i="40"/>
  <c r="E24" i="40"/>
  <c r="G24" i="40" s="1"/>
  <c r="R23" i="40"/>
  <c r="L23" i="40"/>
  <c r="I23" i="40"/>
  <c r="F23" i="40"/>
  <c r="E23" i="40"/>
  <c r="G23" i="40" s="1"/>
  <c r="L22" i="40"/>
  <c r="I22" i="40"/>
  <c r="F22" i="40"/>
  <c r="E22" i="40"/>
  <c r="L21" i="40"/>
  <c r="I21" i="40"/>
  <c r="J21" i="40" s="1"/>
  <c r="F21" i="40"/>
  <c r="E21" i="40"/>
  <c r="G21" i="40" s="1"/>
  <c r="L20" i="40"/>
  <c r="L44" i="40" s="1"/>
  <c r="I20" i="40"/>
  <c r="J20" i="40" s="1"/>
  <c r="F20" i="40"/>
  <c r="E20" i="40"/>
  <c r="G20" i="40" s="1"/>
  <c r="Q19" i="40"/>
  <c r="I19" i="40"/>
  <c r="K18" i="40"/>
  <c r="I18" i="40"/>
  <c r="R17" i="40"/>
  <c r="R15" i="40"/>
  <c r="R13" i="40"/>
  <c r="C12" i="40"/>
  <c r="R11" i="40"/>
  <c r="Q6" i="40"/>
  <c r="Q5" i="40"/>
  <c r="L41" i="39"/>
  <c r="I41" i="39"/>
  <c r="F41" i="39"/>
  <c r="E41" i="39"/>
  <c r="G41" i="39" s="1"/>
  <c r="L40" i="39"/>
  <c r="I40" i="39"/>
  <c r="J40" i="39" s="1"/>
  <c r="F40" i="39"/>
  <c r="E40" i="39"/>
  <c r="G40" i="39" s="1"/>
  <c r="L39" i="39"/>
  <c r="I39" i="39"/>
  <c r="J39" i="39" s="1"/>
  <c r="F39" i="39"/>
  <c r="E39" i="39"/>
  <c r="G39" i="39" s="1"/>
  <c r="L38" i="39"/>
  <c r="I38" i="39"/>
  <c r="F38" i="39"/>
  <c r="E38" i="39"/>
  <c r="G38" i="39" s="1"/>
  <c r="L37" i="39"/>
  <c r="I37" i="39"/>
  <c r="J37" i="39" s="1"/>
  <c r="G37" i="39"/>
  <c r="F37" i="39"/>
  <c r="E37" i="39"/>
  <c r="L36" i="39"/>
  <c r="I36" i="39"/>
  <c r="J36" i="39" s="1"/>
  <c r="F36" i="39"/>
  <c r="E36" i="39"/>
  <c r="G36" i="39" s="1"/>
  <c r="L35" i="39"/>
  <c r="J35" i="39"/>
  <c r="I35" i="39"/>
  <c r="F35" i="39"/>
  <c r="E35" i="39"/>
  <c r="G35" i="39" s="1"/>
  <c r="L34" i="39"/>
  <c r="I34" i="39"/>
  <c r="F34" i="39"/>
  <c r="E34" i="39"/>
  <c r="G34" i="39" s="1"/>
  <c r="L33" i="39"/>
  <c r="I33" i="39"/>
  <c r="F33" i="39"/>
  <c r="E33" i="39"/>
  <c r="G33" i="39" s="1"/>
  <c r="L32" i="39"/>
  <c r="I32" i="39"/>
  <c r="F32" i="39"/>
  <c r="E32" i="39"/>
  <c r="G32" i="39" s="1"/>
  <c r="L31" i="39"/>
  <c r="I31" i="39"/>
  <c r="F31" i="39"/>
  <c r="E31" i="39"/>
  <c r="G31" i="39" s="1"/>
  <c r="L30" i="39"/>
  <c r="I30" i="39"/>
  <c r="J30" i="39" s="1"/>
  <c r="F30" i="39"/>
  <c r="E30" i="39"/>
  <c r="G30" i="39" s="1"/>
  <c r="L29" i="39"/>
  <c r="I29" i="39"/>
  <c r="F29" i="39"/>
  <c r="E29" i="39"/>
  <c r="G29" i="39" s="1"/>
  <c r="L28" i="39"/>
  <c r="I28" i="39"/>
  <c r="F28" i="39"/>
  <c r="E28" i="39"/>
  <c r="G28" i="39" s="1"/>
  <c r="L27" i="39"/>
  <c r="I27" i="39"/>
  <c r="J27" i="39" s="1"/>
  <c r="F27" i="39"/>
  <c r="E27" i="39"/>
  <c r="G27" i="39" s="1"/>
  <c r="Q26" i="39"/>
  <c r="R26" i="39" s="1"/>
  <c r="L26" i="39"/>
  <c r="I26" i="39"/>
  <c r="F26" i="39"/>
  <c r="E26" i="39"/>
  <c r="G26" i="39" s="1"/>
  <c r="Q25" i="39"/>
  <c r="L25" i="39"/>
  <c r="I25" i="39"/>
  <c r="G25" i="39"/>
  <c r="F25" i="39"/>
  <c r="E25" i="39"/>
  <c r="L24" i="39"/>
  <c r="I24" i="39"/>
  <c r="J24" i="39" s="1"/>
  <c r="F24" i="39"/>
  <c r="E24" i="39"/>
  <c r="G24" i="39" s="1"/>
  <c r="R23" i="39"/>
  <c r="L23" i="39"/>
  <c r="I23" i="39"/>
  <c r="F23" i="39"/>
  <c r="E23" i="39"/>
  <c r="G23" i="39" s="1"/>
  <c r="L22" i="39"/>
  <c r="I22" i="39"/>
  <c r="J22" i="39" s="1"/>
  <c r="F22" i="39"/>
  <c r="E22" i="39"/>
  <c r="G22" i="39" s="1"/>
  <c r="L21" i="39"/>
  <c r="I21" i="39"/>
  <c r="F21" i="39"/>
  <c r="E21" i="39"/>
  <c r="L20" i="39"/>
  <c r="L44" i="39" s="1"/>
  <c r="I20" i="39"/>
  <c r="J21" i="39" s="1"/>
  <c r="F20" i="39"/>
  <c r="E20" i="39"/>
  <c r="G20" i="39" s="1"/>
  <c r="Q19" i="39"/>
  <c r="I19" i="39"/>
  <c r="K18" i="39"/>
  <c r="I18" i="39"/>
  <c r="R17" i="39"/>
  <c r="R15" i="39"/>
  <c r="R13" i="39"/>
  <c r="C12" i="39"/>
  <c r="R11" i="39"/>
  <c r="Q6" i="39"/>
  <c r="Q5" i="39"/>
  <c r="L41" i="38"/>
  <c r="I41" i="38"/>
  <c r="F41" i="38"/>
  <c r="E41" i="38"/>
  <c r="L40" i="38"/>
  <c r="I40" i="38"/>
  <c r="J40" i="38" s="1"/>
  <c r="F40" i="38"/>
  <c r="E40" i="38"/>
  <c r="G40" i="38" s="1"/>
  <c r="L39" i="38"/>
  <c r="I39" i="38"/>
  <c r="F39" i="38"/>
  <c r="E39" i="38"/>
  <c r="G39" i="38" s="1"/>
  <c r="L38" i="38"/>
  <c r="I38" i="38"/>
  <c r="J38" i="38" s="1"/>
  <c r="G38" i="38"/>
  <c r="F38" i="38"/>
  <c r="E38" i="38"/>
  <c r="L37" i="38"/>
  <c r="I37" i="38"/>
  <c r="F37" i="38"/>
  <c r="E37" i="38"/>
  <c r="L36" i="38"/>
  <c r="I36" i="38"/>
  <c r="J36" i="38" s="1"/>
  <c r="F36" i="38"/>
  <c r="E36" i="38"/>
  <c r="G36" i="38" s="1"/>
  <c r="L35" i="38"/>
  <c r="I35" i="38"/>
  <c r="F35" i="38"/>
  <c r="E35" i="38"/>
  <c r="G35" i="38" s="1"/>
  <c r="L34" i="38"/>
  <c r="I34" i="38"/>
  <c r="J35" i="38" s="1"/>
  <c r="G34" i="38"/>
  <c r="F34" i="38"/>
  <c r="E34" i="38"/>
  <c r="L33" i="38"/>
  <c r="I33" i="38"/>
  <c r="F33" i="38"/>
  <c r="E33" i="38"/>
  <c r="L32" i="38"/>
  <c r="I32" i="38"/>
  <c r="J32" i="38" s="1"/>
  <c r="F32" i="38"/>
  <c r="E32" i="38"/>
  <c r="G32" i="38" s="1"/>
  <c r="L31" i="38"/>
  <c r="J31" i="38"/>
  <c r="I31" i="38"/>
  <c r="F31" i="38"/>
  <c r="E31" i="38"/>
  <c r="G31" i="38" s="1"/>
  <c r="L30" i="38"/>
  <c r="I30" i="38"/>
  <c r="F30" i="38"/>
  <c r="E30" i="38"/>
  <c r="G30" i="38" s="1"/>
  <c r="L29" i="38"/>
  <c r="I29" i="38"/>
  <c r="J30" i="38" s="1"/>
  <c r="F29" i="38"/>
  <c r="E29" i="38"/>
  <c r="G29" i="38" s="1"/>
  <c r="L28" i="38"/>
  <c r="I28" i="38"/>
  <c r="F28" i="38"/>
  <c r="E28" i="38"/>
  <c r="G28" i="38" s="1"/>
  <c r="L27" i="38"/>
  <c r="I27" i="38"/>
  <c r="F27" i="38"/>
  <c r="G27" i="38" s="1"/>
  <c r="E27" i="38"/>
  <c r="L26" i="38"/>
  <c r="I26" i="38"/>
  <c r="F26" i="38"/>
  <c r="E26" i="38"/>
  <c r="Q25" i="38"/>
  <c r="Q26" i="38" s="1"/>
  <c r="R26" i="38" s="1"/>
  <c r="L25" i="38"/>
  <c r="J25" i="38"/>
  <c r="I25" i="38"/>
  <c r="F25" i="38"/>
  <c r="E25" i="38"/>
  <c r="G25" i="38" s="1"/>
  <c r="L24" i="38"/>
  <c r="I24" i="38"/>
  <c r="F24" i="38"/>
  <c r="E24" i="38"/>
  <c r="G24" i="38" s="1"/>
  <c r="R23" i="38"/>
  <c r="L23" i="38"/>
  <c r="I23" i="38"/>
  <c r="F23" i="38"/>
  <c r="E23" i="38"/>
  <c r="L22" i="38"/>
  <c r="I22" i="38"/>
  <c r="J23" i="38" s="1"/>
  <c r="F22" i="38"/>
  <c r="E22" i="38"/>
  <c r="G22" i="38" s="1"/>
  <c r="L21" i="38"/>
  <c r="I21" i="38"/>
  <c r="J21" i="38" s="1"/>
  <c r="F21" i="38"/>
  <c r="E21" i="38"/>
  <c r="G21" i="38" s="1"/>
  <c r="L20" i="38"/>
  <c r="L44" i="38" s="1"/>
  <c r="I20" i="38"/>
  <c r="F20" i="38"/>
  <c r="E20" i="38"/>
  <c r="G20" i="38" s="1"/>
  <c r="Q19" i="38"/>
  <c r="I19" i="38"/>
  <c r="J20" i="38" s="1"/>
  <c r="K18" i="38"/>
  <c r="I18" i="38"/>
  <c r="R17" i="38"/>
  <c r="R15" i="38"/>
  <c r="R13" i="38"/>
  <c r="C12" i="38"/>
  <c r="R11" i="38"/>
  <c r="Q6" i="38"/>
  <c r="Q5" i="38"/>
  <c r="L41" i="37"/>
  <c r="I41" i="37"/>
  <c r="F41" i="37"/>
  <c r="E41" i="37"/>
  <c r="G41" i="37" s="1"/>
  <c r="L40" i="37"/>
  <c r="I40" i="37"/>
  <c r="J40" i="37" s="1"/>
  <c r="F40" i="37"/>
  <c r="E40" i="37"/>
  <c r="G40" i="37" s="1"/>
  <c r="L39" i="37"/>
  <c r="I39" i="37"/>
  <c r="F39" i="37"/>
  <c r="E39" i="37"/>
  <c r="L38" i="37"/>
  <c r="I38" i="37"/>
  <c r="J39" i="37" s="1"/>
  <c r="F38" i="37"/>
  <c r="E38" i="37"/>
  <c r="G38" i="37" s="1"/>
  <c r="L37" i="37"/>
  <c r="I37" i="37"/>
  <c r="F37" i="37"/>
  <c r="E37" i="37"/>
  <c r="G37" i="37" s="1"/>
  <c r="L36" i="37"/>
  <c r="I36" i="37"/>
  <c r="F36" i="37"/>
  <c r="E36" i="37"/>
  <c r="G36" i="37" s="1"/>
  <c r="L35" i="37"/>
  <c r="I35" i="37"/>
  <c r="J35" i="37" s="1"/>
  <c r="F35" i="37"/>
  <c r="E35" i="37"/>
  <c r="L34" i="37"/>
  <c r="I34" i="37"/>
  <c r="F34" i="37"/>
  <c r="E34" i="37"/>
  <c r="G34" i="37" s="1"/>
  <c r="L33" i="37"/>
  <c r="I33" i="37"/>
  <c r="J34" i="37" s="1"/>
  <c r="F33" i="37"/>
  <c r="E33" i="37"/>
  <c r="G33" i="37" s="1"/>
  <c r="L32" i="37"/>
  <c r="I32" i="37"/>
  <c r="F32" i="37"/>
  <c r="E32" i="37"/>
  <c r="G32" i="37" s="1"/>
  <c r="L31" i="37"/>
  <c r="I31" i="37"/>
  <c r="J31" i="37" s="1"/>
  <c r="F31" i="37"/>
  <c r="E31" i="37"/>
  <c r="G31" i="37" s="1"/>
  <c r="L30" i="37"/>
  <c r="I30" i="37"/>
  <c r="J30" i="37" s="1"/>
  <c r="F30" i="37"/>
  <c r="E30" i="37"/>
  <c r="G30" i="37" s="1"/>
  <c r="L29" i="37"/>
  <c r="I29" i="37"/>
  <c r="F29" i="37"/>
  <c r="E29" i="37"/>
  <c r="G29" i="37" s="1"/>
  <c r="L28" i="37"/>
  <c r="I28" i="37"/>
  <c r="J28" i="37" s="1"/>
  <c r="G28" i="37"/>
  <c r="F28" i="37"/>
  <c r="E28" i="37"/>
  <c r="L27" i="37"/>
  <c r="I27" i="37"/>
  <c r="J27" i="37" s="1"/>
  <c r="F27" i="37"/>
  <c r="E27" i="37"/>
  <c r="G27" i="37" s="1"/>
  <c r="R26" i="37"/>
  <c r="L26" i="37"/>
  <c r="I26" i="37"/>
  <c r="F26" i="37"/>
  <c r="E26" i="37"/>
  <c r="G26" i="37" s="1"/>
  <c r="Q25" i="37"/>
  <c r="L25" i="37"/>
  <c r="I25" i="37"/>
  <c r="J26" i="37" s="1"/>
  <c r="F25" i="37"/>
  <c r="E25" i="37"/>
  <c r="G25" i="37" s="1"/>
  <c r="L24" i="37"/>
  <c r="L44" i="37" s="1"/>
  <c r="I24" i="37"/>
  <c r="J24" i="37" s="1"/>
  <c r="F24" i="37"/>
  <c r="E24" i="37"/>
  <c r="G24" i="37" s="1"/>
  <c r="R23" i="37"/>
  <c r="L23" i="37"/>
  <c r="I23" i="37"/>
  <c r="F23" i="37"/>
  <c r="E23" i="37"/>
  <c r="L22" i="37"/>
  <c r="I22" i="37"/>
  <c r="J22" i="37" s="1"/>
  <c r="F22" i="37"/>
  <c r="E22" i="37"/>
  <c r="G22" i="37" s="1"/>
  <c r="L21" i="37"/>
  <c r="I21" i="37"/>
  <c r="F21" i="37"/>
  <c r="E21" i="37"/>
  <c r="L20" i="37"/>
  <c r="I20" i="37"/>
  <c r="J20" i="37" s="1"/>
  <c r="F20" i="37"/>
  <c r="E20" i="37"/>
  <c r="G20" i="37" s="1"/>
  <c r="Q19" i="37"/>
  <c r="I19" i="37"/>
  <c r="K18" i="37"/>
  <c r="I18" i="37"/>
  <c r="R17" i="37"/>
  <c r="R15" i="37"/>
  <c r="R13" i="37"/>
  <c r="C12" i="37"/>
  <c r="R11" i="37"/>
  <c r="Q6" i="37"/>
  <c r="Q5" i="37"/>
  <c r="L41" i="36"/>
  <c r="I41" i="36"/>
  <c r="F41" i="36"/>
  <c r="E41" i="36"/>
  <c r="G41" i="36" s="1"/>
  <c r="L40" i="36"/>
  <c r="I40" i="36"/>
  <c r="F40" i="36"/>
  <c r="E40" i="36"/>
  <c r="L39" i="36"/>
  <c r="I39" i="36"/>
  <c r="F39" i="36"/>
  <c r="E39" i="36"/>
  <c r="G39" i="36" s="1"/>
  <c r="L38" i="36"/>
  <c r="I38" i="36"/>
  <c r="F38" i="36"/>
  <c r="E38" i="36"/>
  <c r="L37" i="36"/>
  <c r="I37" i="36"/>
  <c r="F37" i="36"/>
  <c r="E37" i="36"/>
  <c r="G37" i="36" s="1"/>
  <c r="L36" i="36"/>
  <c r="I36" i="36"/>
  <c r="F36" i="36"/>
  <c r="E36" i="36"/>
  <c r="L35" i="36"/>
  <c r="I35" i="36"/>
  <c r="F35" i="36"/>
  <c r="E35" i="36"/>
  <c r="G35" i="36" s="1"/>
  <c r="L34" i="36"/>
  <c r="I34" i="36"/>
  <c r="F34" i="36"/>
  <c r="E34" i="36"/>
  <c r="L33" i="36"/>
  <c r="I33" i="36"/>
  <c r="F33" i="36"/>
  <c r="E33" i="36"/>
  <c r="G33" i="36" s="1"/>
  <c r="L32" i="36"/>
  <c r="I32" i="36"/>
  <c r="F32" i="36"/>
  <c r="E32" i="36"/>
  <c r="L31" i="36"/>
  <c r="I31" i="36"/>
  <c r="F31" i="36"/>
  <c r="E31" i="36"/>
  <c r="G31" i="36" s="1"/>
  <c r="L30" i="36"/>
  <c r="I30" i="36"/>
  <c r="F30" i="36"/>
  <c r="E30" i="36"/>
  <c r="G30" i="36" s="1"/>
  <c r="L29" i="36"/>
  <c r="I29" i="36"/>
  <c r="F29" i="36"/>
  <c r="E29" i="36"/>
  <c r="L28" i="36"/>
  <c r="I28" i="36"/>
  <c r="F28" i="36"/>
  <c r="E28" i="36"/>
  <c r="L27" i="36"/>
  <c r="I27" i="36"/>
  <c r="F27" i="36"/>
  <c r="E27" i="36"/>
  <c r="L26" i="36"/>
  <c r="I26" i="36"/>
  <c r="F26" i="36"/>
  <c r="E26" i="36"/>
  <c r="G26" i="36" s="1"/>
  <c r="Q25" i="36"/>
  <c r="Q26" i="36" s="1"/>
  <c r="R26" i="36" s="1"/>
  <c r="L25" i="36"/>
  <c r="I25" i="36"/>
  <c r="G25" i="36"/>
  <c r="F25" i="36"/>
  <c r="E25" i="36"/>
  <c r="L24" i="36"/>
  <c r="I24" i="36"/>
  <c r="F24" i="36"/>
  <c r="E24" i="36"/>
  <c r="R23" i="36"/>
  <c r="L23" i="36"/>
  <c r="I23" i="36"/>
  <c r="F23" i="36"/>
  <c r="E23" i="36"/>
  <c r="G23" i="36" s="1"/>
  <c r="L22" i="36"/>
  <c r="I22" i="36"/>
  <c r="F22" i="36"/>
  <c r="E22" i="36"/>
  <c r="G22" i="36" s="1"/>
  <c r="L21" i="36"/>
  <c r="I21" i="36"/>
  <c r="F21" i="36"/>
  <c r="E21" i="36"/>
  <c r="G21" i="36" s="1"/>
  <c r="L20" i="36"/>
  <c r="I20" i="36"/>
  <c r="J20" i="36" s="1"/>
  <c r="F20" i="36"/>
  <c r="E20" i="36"/>
  <c r="G20" i="36" s="1"/>
  <c r="Q19" i="36"/>
  <c r="I19" i="36"/>
  <c r="K18" i="36"/>
  <c r="I18" i="36"/>
  <c r="R17" i="36"/>
  <c r="R15" i="36"/>
  <c r="R13" i="36"/>
  <c r="C12" i="36"/>
  <c r="R11" i="36"/>
  <c r="Q6" i="36"/>
  <c r="Q5" i="36"/>
  <c r="L41" i="35"/>
  <c r="I41" i="35"/>
  <c r="F41" i="35"/>
  <c r="E41" i="35"/>
  <c r="G41" i="35" s="1"/>
  <c r="L40" i="35"/>
  <c r="I40" i="35"/>
  <c r="J40" i="35" s="1"/>
  <c r="G40" i="35"/>
  <c r="F40" i="35"/>
  <c r="E40" i="35"/>
  <c r="L39" i="35"/>
  <c r="I39" i="35"/>
  <c r="J39" i="35" s="1"/>
  <c r="F39" i="35"/>
  <c r="E39" i="35"/>
  <c r="G39" i="35" s="1"/>
  <c r="L38" i="35"/>
  <c r="I38" i="35"/>
  <c r="F38" i="35"/>
  <c r="E38" i="35"/>
  <c r="G38" i="35" s="1"/>
  <c r="L37" i="35"/>
  <c r="I37" i="35"/>
  <c r="J38" i="35" s="1"/>
  <c r="F37" i="35"/>
  <c r="E37" i="35"/>
  <c r="G37" i="35" s="1"/>
  <c r="L36" i="35"/>
  <c r="I36" i="35"/>
  <c r="J36" i="35" s="1"/>
  <c r="F36" i="35"/>
  <c r="E36" i="35"/>
  <c r="G36" i="35" s="1"/>
  <c r="L35" i="35"/>
  <c r="I35" i="35"/>
  <c r="F35" i="35"/>
  <c r="E35" i="35"/>
  <c r="G35" i="35" s="1"/>
  <c r="L34" i="35"/>
  <c r="I34" i="35"/>
  <c r="J35" i="35" s="1"/>
  <c r="G34" i="35"/>
  <c r="F34" i="35"/>
  <c r="E34" i="35"/>
  <c r="L33" i="35"/>
  <c r="I33" i="35"/>
  <c r="J33" i="35" s="1"/>
  <c r="F33" i="35"/>
  <c r="E33" i="35"/>
  <c r="G33" i="35" s="1"/>
  <c r="L32" i="35"/>
  <c r="I32" i="35"/>
  <c r="F32" i="35"/>
  <c r="E32" i="35"/>
  <c r="G32" i="35" s="1"/>
  <c r="L31" i="35"/>
  <c r="I31" i="35"/>
  <c r="J31" i="35" s="1"/>
  <c r="F31" i="35"/>
  <c r="E31" i="35"/>
  <c r="L30" i="35"/>
  <c r="I30" i="35"/>
  <c r="F30" i="35"/>
  <c r="E30" i="35"/>
  <c r="L29" i="35"/>
  <c r="I29" i="35"/>
  <c r="J29" i="35" s="1"/>
  <c r="F29" i="35"/>
  <c r="E29" i="35"/>
  <c r="G29" i="35" s="1"/>
  <c r="L28" i="35"/>
  <c r="I28" i="35"/>
  <c r="J28" i="35" s="1"/>
  <c r="F28" i="35"/>
  <c r="E28" i="35"/>
  <c r="G28" i="35" s="1"/>
  <c r="L27" i="35"/>
  <c r="I27" i="35"/>
  <c r="J27" i="35" s="1"/>
  <c r="F27" i="35"/>
  <c r="E27" i="35"/>
  <c r="G27" i="35" s="1"/>
  <c r="L26" i="35"/>
  <c r="I26" i="35"/>
  <c r="F26" i="35"/>
  <c r="E26" i="35"/>
  <c r="G26" i="35" s="1"/>
  <c r="Q25" i="35"/>
  <c r="Q26" i="35" s="1"/>
  <c r="R26" i="35" s="1"/>
  <c r="L25" i="35"/>
  <c r="I25" i="35"/>
  <c r="F25" i="35"/>
  <c r="E25" i="35"/>
  <c r="L24" i="35"/>
  <c r="I24" i="35"/>
  <c r="F24" i="35"/>
  <c r="E24" i="35"/>
  <c r="R23" i="35"/>
  <c r="L23" i="35"/>
  <c r="I23" i="35"/>
  <c r="F23" i="35"/>
  <c r="E23" i="35"/>
  <c r="G23" i="35" s="1"/>
  <c r="L22" i="35"/>
  <c r="I22" i="35"/>
  <c r="J22" i="35" s="1"/>
  <c r="F22" i="35"/>
  <c r="E22" i="35"/>
  <c r="G22" i="35" s="1"/>
  <c r="L21" i="35"/>
  <c r="L44" i="35" s="1"/>
  <c r="I21" i="35"/>
  <c r="F21" i="35"/>
  <c r="E21" i="35"/>
  <c r="G21" i="35" s="1"/>
  <c r="L20" i="35"/>
  <c r="I20" i="35"/>
  <c r="J20" i="35" s="1"/>
  <c r="F20" i="35"/>
  <c r="E20" i="35"/>
  <c r="Q19" i="35"/>
  <c r="I19" i="35"/>
  <c r="K18" i="35"/>
  <c r="I18" i="35"/>
  <c r="R17" i="35"/>
  <c r="R15" i="35"/>
  <c r="R13" i="35"/>
  <c r="C12" i="35"/>
  <c r="R11" i="35"/>
  <c r="Q6" i="35"/>
  <c r="Q5" i="35"/>
  <c r="R30" i="26"/>
  <c r="R26" i="26"/>
  <c r="Q26" i="26"/>
  <c r="R17" i="26"/>
  <c r="R11" i="26"/>
  <c r="R13" i="26"/>
  <c r="R22" i="26"/>
  <c r="R15" i="26"/>
  <c r="G40" i="19"/>
  <c r="G43" i="19"/>
  <c r="C12" i="19"/>
  <c r="L41" i="34"/>
  <c r="I41" i="34"/>
  <c r="F41" i="34"/>
  <c r="E41" i="34"/>
  <c r="G41" i="34" s="1"/>
  <c r="L40" i="34"/>
  <c r="I40" i="34"/>
  <c r="J40" i="34" s="1"/>
  <c r="F40" i="34"/>
  <c r="E40" i="34"/>
  <c r="G40" i="34" s="1"/>
  <c r="L39" i="34"/>
  <c r="I39" i="34"/>
  <c r="F39" i="34"/>
  <c r="E39" i="34"/>
  <c r="G39" i="34" s="1"/>
  <c r="L38" i="34"/>
  <c r="I38" i="34"/>
  <c r="J38" i="34" s="1"/>
  <c r="F38" i="34"/>
  <c r="E38" i="34"/>
  <c r="L37" i="34"/>
  <c r="I37" i="34"/>
  <c r="J37" i="34" s="1"/>
  <c r="F37" i="34"/>
  <c r="E37" i="34"/>
  <c r="G37" i="34" s="1"/>
  <c r="L36" i="34"/>
  <c r="I36" i="34"/>
  <c r="F36" i="34"/>
  <c r="E36" i="34"/>
  <c r="G36" i="34" s="1"/>
  <c r="L35" i="34"/>
  <c r="I35" i="34"/>
  <c r="J35" i="34" s="1"/>
  <c r="F35" i="34"/>
  <c r="E35" i="34"/>
  <c r="G35" i="34" s="1"/>
  <c r="L34" i="34"/>
  <c r="I34" i="34"/>
  <c r="F34" i="34"/>
  <c r="E34" i="34"/>
  <c r="L33" i="34"/>
  <c r="I33" i="34"/>
  <c r="J33" i="34" s="1"/>
  <c r="G33" i="34"/>
  <c r="F33" i="34"/>
  <c r="E33" i="34"/>
  <c r="L32" i="34"/>
  <c r="I32" i="34"/>
  <c r="F32" i="34"/>
  <c r="E32" i="34"/>
  <c r="G32" i="34" s="1"/>
  <c r="L31" i="34"/>
  <c r="I31" i="34"/>
  <c r="J31" i="34" s="1"/>
  <c r="F31" i="34"/>
  <c r="E31" i="34"/>
  <c r="G31" i="34" s="1"/>
  <c r="L30" i="34"/>
  <c r="I30" i="34"/>
  <c r="J30" i="34" s="1"/>
  <c r="F30" i="34"/>
  <c r="E30" i="34"/>
  <c r="G30" i="34" s="1"/>
  <c r="L29" i="34"/>
  <c r="I29" i="34"/>
  <c r="F29" i="34"/>
  <c r="E29" i="34"/>
  <c r="G29" i="34" s="1"/>
  <c r="L28" i="34"/>
  <c r="I28" i="34"/>
  <c r="J28" i="34" s="1"/>
  <c r="F28" i="34"/>
  <c r="G28" i="34" s="1"/>
  <c r="E28" i="34"/>
  <c r="L27" i="34"/>
  <c r="I27" i="34"/>
  <c r="F27" i="34"/>
  <c r="E27" i="34"/>
  <c r="G27" i="34" s="1"/>
  <c r="L26" i="34"/>
  <c r="I26" i="34"/>
  <c r="J26" i="34" s="1"/>
  <c r="F26" i="34"/>
  <c r="E26" i="34"/>
  <c r="G26" i="34" s="1"/>
  <c r="Q25" i="34"/>
  <c r="Q26" i="34" s="1"/>
  <c r="R26" i="34" s="1"/>
  <c r="L25" i="34"/>
  <c r="I25" i="34"/>
  <c r="J25" i="34" s="1"/>
  <c r="F25" i="34"/>
  <c r="E25" i="34"/>
  <c r="L24" i="34"/>
  <c r="I24" i="34"/>
  <c r="F24" i="34"/>
  <c r="E24" i="34"/>
  <c r="G24" i="34" s="1"/>
  <c r="R23" i="34"/>
  <c r="L23" i="34"/>
  <c r="I23" i="34"/>
  <c r="J23" i="34" s="1"/>
  <c r="F23" i="34"/>
  <c r="E23" i="34"/>
  <c r="G23" i="34" s="1"/>
  <c r="L22" i="34"/>
  <c r="I22" i="34"/>
  <c r="F22" i="34"/>
  <c r="E22" i="34"/>
  <c r="G22" i="34" s="1"/>
  <c r="L21" i="34"/>
  <c r="I21" i="34"/>
  <c r="J21" i="34" s="1"/>
  <c r="F21" i="34"/>
  <c r="E21" i="34"/>
  <c r="G21" i="34" s="1"/>
  <c r="L20" i="34"/>
  <c r="L44" i="34" s="1"/>
  <c r="I20" i="34"/>
  <c r="F20" i="34"/>
  <c r="E20" i="34"/>
  <c r="Q19" i="34"/>
  <c r="I19" i="34"/>
  <c r="K18" i="34"/>
  <c r="I18" i="34"/>
  <c r="R17" i="34"/>
  <c r="R15" i="34"/>
  <c r="R13" i="34"/>
  <c r="C12" i="34"/>
  <c r="R11" i="34"/>
  <c r="Q6" i="34"/>
  <c r="Q5" i="34"/>
  <c r="L41" i="33"/>
  <c r="I41" i="33"/>
  <c r="F41" i="33"/>
  <c r="E41" i="33"/>
  <c r="G41" i="33" s="1"/>
  <c r="L40" i="33"/>
  <c r="I40" i="33"/>
  <c r="J40" i="33" s="1"/>
  <c r="F40" i="33"/>
  <c r="E40" i="33"/>
  <c r="G40" i="33" s="1"/>
  <c r="L39" i="33"/>
  <c r="I39" i="33"/>
  <c r="F39" i="33"/>
  <c r="E39" i="33"/>
  <c r="G39" i="33" s="1"/>
  <c r="L38" i="33"/>
  <c r="I38" i="33"/>
  <c r="J39" i="33" s="1"/>
  <c r="G38" i="33"/>
  <c r="F38" i="33"/>
  <c r="E38" i="33"/>
  <c r="L37" i="33"/>
  <c r="I37" i="33"/>
  <c r="F37" i="33"/>
  <c r="E37" i="33"/>
  <c r="G37" i="33" s="1"/>
  <c r="L36" i="33"/>
  <c r="I36" i="33"/>
  <c r="J36" i="33" s="1"/>
  <c r="F36" i="33"/>
  <c r="E36" i="33"/>
  <c r="G36" i="33" s="1"/>
  <c r="L35" i="33"/>
  <c r="I35" i="33"/>
  <c r="F35" i="33"/>
  <c r="E35" i="33"/>
  <c r="G35" i="33" s="1"/>
  <c r="L34" i="33"/>
  <c r="I34" i="33"/>
  <c r="J35" i="33" s="1"/>
  <c r="G34" i="33"/>
  <c r="F34" i="33"/>
  <c r="E34" i="33"/>
  <c r="L33" i="33"/>
  <c r="I33" i="33"/>
  <c r="F33" i="33"/>
  <c r="E33" i="33"/>
  <c r="G33" i="33" s="1"/>
  <c r="L32" i="33"/>
  <c r="I32" i="33"/>
  <c r="J32" i="33" s="1"/>
  <c r="F32" i="33"/>
  <c r="E32" i="33"/>
  <c r="G32" i="33" s="1"/>
  <c r="L31" i="33"/>
  <c r="I31" i="33"/>
  <c r="J31" i="33" s="1"/>
  <c r="F31" i="33"/>
  <c r="E31" i="33"/>
  <c r="G31" i="33" s="1"/>
  <c r="L30" i="33"/>
  <c r="I30" i="33"/>
  <c r="F30" i="33"/>
  <c r="E30" i="33"/>
  <c r="G30" i="33" s="1"/>
  <c r="L29" i="33"/>
  <c r="I29" i="33"/>
  <c r="J30" i="33" s="1"/>
  <c r="F29" i="33"/>
  <c r="E29" i="33"/>
  <c r="G29" i="33" s="1"/>
  <c r="L28" i="33"/>
  <c r="I28" i="33"/>
  <c r="F28" i="33"/>
  <c r="E28" i="33"/>
  <c r="G28" i="33" s="1"/>
  <c r="L27" i="33"/>
  <c r="I27" i="33"/>
  <c r="J27" i="33" s="1"/>
  <c r="F27" i="33"/>
  <c r="E27" i="33"/>
  <c r="G27" i="33" s="1"/>
  <c r="L26" i="33"/>
  <c r="I26" i="33"/>
  <c r="J26" i="33" s="1"/>
  <c r="F26" i="33"/>
  <c r="E26" i="33"/>
  <c r="G26" i="33" s="1"/>
  <c r="Q25" i="33"/>
  <c r="Q26" i="33" s="1"/>
  <c r="R26" i="33" s="1"/>
  <c r="L25" i="33"/>
  <c r="J25" i="33"/>
  <c r="I25" i="33"/>
  <c r="F25" i="33"/>
  <c r="E25" i="33"/>
  <c r="G25" i="33" s="1"/>
  <c r="L24" i="33"/>
  <c r="I24" i="33"/>
  <c r="F24" i="33"/>
  <c r="E24" i="33"/>
  <c r="G24" i="33" s="1"/>
  <c r="R23" i="33"/>
  <c r="L23" i="33"/>
  <c r="I23" i="33"/>
  <c r="F23" i="33"/>
  <c r="E23" i="33"/>
  <c r="G23" i="33" s="1"/>
  <c r="L22" i="33"/>
  <c r="I22" i="33"/>
  <c r="J23" i="33" s="1"/>
  <c r="F22" i="33"/>
  <c r="E22" i="33"/>
  <c r="G22" i="33" s="1"/>
  <c r="L21" i="33"/>
  <c r="I21" i="33"/>
  <c r="F21" i="33"/>
  <c r="E21" i="33"/>
  <c r="G21" i="33" s="1"/>
  <c r="L20" i="33"/>
  <c r="L44" i="33" s="1"/>
  <c r="I20" i="33"/>
  <c r="J21" i="33" s="1"/>
  <c r="F20" i="33"/>
  <c r="E20" i="33"/>
  <c r="G20" i="33" s="1"/>
  <c r="Q19" i="33"/>
  <c r="I19" i="33"/>
  <c r="J20" i="33" s="1"/>
  <c r="K18" i="33"/>
  <c r="I18" i="33"/>
  <c r="R17" i="33"/>
  <c r="R15" i="33"/>
  <c r="R13" i="33"/>
  <c r="C12" i="33"/>
  <c r="R11" i="33"/>
  <c r="Q6" i="33"/>
  <c r="Q5" i="33"/>
  <c r="K18" i="14"/>
  <c r="K18" i="29"/>
  <c r="L41" i="29"/>
  <c r="I41" i="29"/>
  <c r="J41" i="29" s="1"/>
  <c r="G41" i="29"/>
  <c r="F41" i="29"/>
  <c r="E41" i="29"/>
  <c r="L40" i="29"/>
  <c r="J40" i="29"/>
  <c r="I40" i="29"/>
  <c r="F40" i="29"/>
  <c r="E40" i="29"/>
  <c r="G40" i="29" s="1"/>
  <c r="L39" i="29"/>
  <c r="J39" i="29"/>
  <c r="I39" i="29"/>
  <c r="F39" i="29"/>
  <c r="E39" i="29"/>
  <c r="G39" i="29" s="1"/>
  <c r="L38" i="29"/>
  <c r="J38" i="29"/>
  <c r="I38" i="29"/>
  <c r="F38" i="29"/>
  <c r="E38" i="29"/>
  <c r="G38" i="29" s="1"/>
  <c r="L37" i="29"/>
  <c r="I37" i="29"/>
  <c r="J37" i="29" s="1"/>
  <c r="G37" i="29"/>
  <c r="F37" i="29"/>
  <c r="E37" i="29"/>
  <c r="L36" i="29"/>
  <c r="J36" i="29"/>
  <c r="I36" i="29"/>
  <c r="F36" i="29"/>
  <c r="E36" i="29"/>
  <c r="G36" i="29" s="1"/>
  <c r="L35" i="29"/>
  <c r="J35" i="29"/>
  <c r="I35" i="29"/>
  <c r="F35" i="29"/>
  <c r="E35" i="29"/>
  <c r="G35" i="29" s="1"/>
  <c r="L34" i="29"/>
  <c r="J34" i="29"/>
  <c r="I34" i="29"/>
  <c r="F34" i="29"/>
  <c r="E34" i="29"/>
  <c r="G34" i="29" s="1"/>
  <c r="L33" i="29"/>
  <c r="I33" i="29"/>
  <c r="J33" i="29" s="1"/>
  <c r="G33" i="29"/>
  <c r="F33" i="29"/>
  <c r="E33" i="29"/>
  <c r="L32" i="29"/>
  <c r="I32" i="29"/>
  <c r="F32" i="29"/>
  <c r="E32" i="29"/>
  <c r="G32" i="29" s="1"/>
  <c r="L31" i="29"/>
  <c r="I31" i="29"/>
  <c r="J31" i="29" s="1"/>
  <c r="F31" i="29"/>
  <c r="E31" i="29"/>
  <c r="G31" i="29" s="1"/>
  <c r="L30" i="29"/>
  <c r="I30" i="29"/>
  <c r="J30" i="29" s="1"/>
  <c r="F30" i="29"/>
  <c r="E30" i="29"/>
  <c r="G30" i="29" s="1"/>
  <c r="L29" i="29"/>
  <c r="I29" i="29"/>
  <c r="J29" i="29" s="1"/>
  <c r="F29" i="29"/>
  <c r="G29" i="29" s="1"/>
  <c r="E29" i="29"/>
  <c r="L28" i="29"/>
  <c r="J28" i="29"/>
  <c r="I28" i="29"/>
  <c r="G28" i="29"/>
  <c r="F28" i="29"/>
  <c r="E28" i="29"/>
  <c r="L27" i="29"/>
  <c r="I27" i="29"/>
  <c r="J27" i="29" s="1"/>
  <c r="G27" i="29"/>
  <c r="F27" i="29"/>
  <c r="E27" i="29"/>
  <c r="Q26" i="29"/>
  <c r="R26" i="29" s="1"/>
  <c r="L26" i="29"/>
  <c r="I26" i="29"/>
  <c r="J26" i="29" s="1"/>
  <c r="G26" i="29"/>
  <c r="F26" i="29"/>
  <c r="E26" i="29"/>
  <c r="Q25" i="29"/>
  <c r="L25" i="29"/>
  <c r="I25" i="29"/>
  <c r="J25" i="29" s="1"/>
  <c r="F25" i="29"/>
  <c r="G25" i="29" s="1"/>
  <c r="E25" i="29"/>
  <c r="L24" i="29"/>
  <c r="I24" i="29"/>
  <c r="J24" i="29" s="1"/>
  <c r="F24" i="29"/>
  <c r="E24" i="29"/>
  <c r="G24" i="29" s="1"/>
  <c r="R23" i="29"/>
  <c r="L23" i="29"/>
  <c r="I23" i="29"/>
  <c r="F23" i="29"/>
  <c r="E23" i="29"/>
  <c r="G23" i="29" s="1"/>
  <c r="L22" i="29"/>
  <c r="I22" i="29"/>
  <c r="J22" i="29" s="1"/>
  <c r="F22" i="29"/>
  <c r="G22" i="29" s="1"/>
  <c r="E22" i="29"/>
  <c r="L21" i="29"/>
  <c r="I21" i="29"/>
  <c r="J21" i="29" s="1"/>
  <c r="F21" i="29"/>
  <c r="E21" i="29"/>
  <c r="G21" i="29" s="1"/>
  <c r="L20" i="29"/>
  <c r="I20" i="29"/>
  <c r="J20" i="29" s="1"/>
  <c r="F20" i="29"/>
  <c r="G20" i="29" s="1"/>
  <c r="E20" i="29"/>
  <c r="Q19" i="29"/>
  <c r="I19" i="29"/>
  <c r="I18" i="29"/>
  <c r="R17" i="29"/>
  <c r="R15" i="29"/>
  <c r="R13" i="29"/>
  <c r="C12" i="29"/>
  <c r="R11" i="29"/>
  <c r="Q6" i="29"/>
  <c r="Q5" i="29"/>
  <c r="L41" i="26"/>
  <c r="I41" i="26"/>
  <c r="J41" i="26" s="1"/>
  <c r="G41" i="26"/>
  <c r="F41" i="26"/>
  <c r="E41" i="26"/>
  <c r="L40" i="26"/>
  <c r="I40" i="26"/>
  <c r="J40" i="26" s="1"/>
  <c r="F40" i="26"/>
  <c r="E40" i="26"/>
  <c r="G40" i="26" s="1"/>
  <c r="L39" i="26"/>
  <c r="J39" i="26"/>
  <c r="I39" i="26"/>
  <c r="F39" i="26"/>
  <c r="G39" i="26" s="1"/>
  <c r="E39" i="26"/>
  <c r="L38" i="26"/>
  <c r="J38" i="26"/>
  <c r="I38" i="26"/>
  <c r="F38" i="26"/>
  <c r="E38" i="26"/>
  <c r="G38" i="26" s="1"/>
  <c r="L37" i="26"/>
  <c r="I37" i="26"/>
  <c r="J37" i="26" s="1"/>
  <c r="G37" i="26"/>
  <c r="F37" i="26"/>
  <c r="E37" i="26"/>
  <c r="L36" i="26"/>
  <c r="I36" i="26"/>
  <c r="J36" i="26" s="1"/>
  <c r="F36" i="26"/>
  <c r="E36" i="26"/>
  <c r="G36" i="26" s="1"/>
  <c r="L35" i="26"/>
  <c r="J35" i="26"/>
  <c r="I35" i="26"/>
  <c r="F35" i="26"/>
  <c r="G35" i="26" s="1"/>
  <c r="E35" i="26"/>
  <c r="L34" i="26"/>
  <c r="J34" i="26"/>
  <c r="I34" i="26"/>
  <c r="F34" i="26"/>
  <c r="E34" i="26"/>
  <c r="G34" i="26" s="1"/>
  <c r="L33" i="26"/>
  <c r="I33" i="26"/>
  <c r="J33" i="26" s="1"/>
  <c r="G33" i="26"/>
  <c r="F33" i="26"/>
  <c r="E33" i="26"/>
  <c r="L32" i="26"/>
  <c r="I32" i="26"/>
  <c r="J32" i="26" s="1"/>
  <c r="F32" i="26"/>
  <c r="E32" i="26"/>
  <c r="G32" i="26" s="1"/>
  <c r="L31" i="26"/>
  <c r="I31" i="26"/>
  <c r="J31" i="26" s="1"/>
  <c r="F31" i="26"/>
  <c r="E31" i="26"/>
  <c r="G31" i="26" s="1"/>
  <c r="L30" i="26"/>
  <c r="I30" i="26"/>
  <c r="J30" i="26" s="1"/>
  <c r="F30" i="26"/>
  <c r="E30" i="26"/>
  <c r="G30" i="26" s="1"/>
  <c r="L29" i="26"/>
  <c r="I29" i="26"/>
  <c r="J29" i="26" s="1"/>
  <c r="F29" i="26"/>
  <c r="E29" i="26"/>
  <c r="G29" i="26" s="1"/>
  <c r="L28" i="26"/>
  <c r="J28" i="26"/>
  <c r="I28" i="26"/>
  <c r="F28" i="26"/>
  <c r="E28" i="26"/>
  <c r="G28" i="26" s="1"/>
  <c r="L27" i="26"/>
  <c r="I27" i="26"/>
  <c r="J27" i="26" s="1"/>
  <c r="G27" i="26"/>
  <c r="F27" i="26"/>
  <c r="E27" i="26"/>
  <c r="L26" i="26"/>
  <c r="I26" i="26"/>
  <c r="J26" i="26" s="1"/>
  <c r="G26" i="26"/>
  <c r="F26" i="26"/>
  <c r="E26" i="26"/>
  <c r="Q25" i="26"/>
  <c r="L25" i="26"/>
  <c r="J25" i="26"/>
  <c r="I25" i="26"/>
  <c r="F25" i="26"/>
  <c r="G25" i="26" s="1"/>
  <c r="E25" i="26"/>
  <c r="L24" i="26"/>
  <c r="I24" i="26"/>
  <c r="J24" i="26" s="1"/>
  <c r="F24" i="26"/>
  <c r="E24" i="26"/>
  <c r="G24" i="26" s="1"/>
  <c r="R23" i="26"/>
  <c r="L23" i="26"/>
  <c r="I23" i="26"/>
  <c r="F23" i="26"/>
  <c r="G23" i="26" s="1"/>
  <c r="E23" i="26"/>
  <c r="L22" i="26"/>
  <c r="I22" i="26"/>
  <c r="J22" i="26" s="1"/>
  <c r="F22" i="26"/>
  <c r="E22" i="26"/>
  <c r="G22" i="26" s="1"/>
  <c r="L21" i="26"/>
  <c r="I21" i="26"/>
  <c r="J21" i="26" s="1"/>
  <c r="F21" i="26"/>
  <c r="E21" i="26"/>
  <c r="G21" i="26" s="1"/>
  <c r="L20" i="26"/>
  <c r="L44" i="26" s="1"/>
  <c r="J20" i="26"/>
  <c r="I20" i="26"/>
  <c r="F20" i="26"/>
  <c r="G20" i="26" s="1"/>
  <c r="E20" i="26"/>
  <c r="Q19" i="26"/>
  <c r="I19" i="26"/>
  <c r="I18" i="26"/>
  <c r="C12" i="26"/>
  <c r="Q6" i="26"/>
  <c r="Q5" i="26"/>
  <c r="G24" i="36" l="1"/>
  <c r="J25" i="36"/>
  <c r="L44" i="36"/>
  <c r="J31" i="36"/>
  <c r="J23" i="36"/>
  <c r="J30" i="36"/>
  <c r="J34" i="36"/>
  <c r="J38" i="36"/>
  <c r="G27" i="36"/>
  <c r="G29" i="36"/>
  <c r="J41" i="51"/>
  <c r="J37" i="51"/>
  <c r="G35" i="51"/>
  <c r="J33" i="51"/>
  <c r="J32" i="51"/>
  <c r="J30" i="51"/>
  <c r="J29" i="51"/>
  <c r="J25" i="51"/>
  <c r="G23" i="51"/>
  <c r="G21" i="51"/>
  <c r="J34" i="51"/>
  <c r="J38" i="51"/>
  <c r="J23" i="51"/>
  <c r="J41" i="50"/>
  <c r="J36" i="50"/>
  <c r="J33" i="50"/>
  <c r="J29" i="50"/>
  <c r="J24" i="50"/>
  <c r="J21" i="50"/>
  <c r="G20" i="50"/>
  <c r="G43" i="50"/>
  <c r="C13" i="50" s="1"/>
  <c r="C14" i="50" s="1"/>
  <c r="J30" i="50"/>
  <c r="J23" i="50"/>
  <c r="G39" i="49"/>
  <c r="J39" i="49"/>
  <c r="G35" i="49"/>
  <c r="J36" i="49"/>
  <c r="J32" i="49"/>
  <c r="J28" i="49"/>
  <c r="G23" i="49"/>
  <c r="G43" i="49" s="1"/>
  <c r="C13" i="49" s="1"/>
  <c r="C14" i="49" s="1"/>
  <c r="J22" i="49"/>
  <c r="J23" i="49"/>
  <c r="J21" i="49"/>
  <c r="J33" i="49"/>
  <c r="J37" i="49"/>
  <c r="J24" i="49"/>
  <c r="G41" i="48"/>
  <c r="G40" i="48"/>
  <c r="J39" i="48"/>
  <c r="G37" i="48"/>
  <c r="J37" i="48"/>
  <c r="J35" i="48"/>
  <c r="G34" i="48"/>
  <c r="G32" i="48"/>
  <c r="G33" i="48"/>
  <c r="J32" i="48"/>
  <c r="J33" i="48"/>
  <c r="J31" i="48"/>
  <c r="J30" i="48"/>
  <c r="G28" i="48"/>
  <c r="G27" i="48"/>
  <c r="J27" i="48"/>
  <c r="G26" i="48"/>
  <c r="J26" i="48"/>
  <c r="J21" i="48"/>
  <c r="G43" i="48"/>
  <c r="C13" i="48" s="1"/>
  <c r="C14" i="48" s="1"/>
  <c r="J28" i="48"/>
  <c r="J36" i="48"/>
  <c r="J24" i="48"/>
  <c r="J41" i="47"/>
  <c r="J40" i="47"/>
  <c r="J39" i="47"/>
  <c r="J32" i="47"/>
  <c r="G30" i="47"/>
  <c r="G31" i="47"/>
  <c r="G29" i="47"/>
  <c r="G24" i="47"/>
  <c r="J24" i="47"/>
  <c r="G22" i="47"/>
  <c r="J22" i="47"/>
  <c r="G43" i="47"/>
  <c r="C13" i="47" s="1"/>
  <c r="C14" i="47" s="1"/>
  <c r="J29" i="47"/>
  <c r="J26" i="47"/>
  <c r="J31" i="47"/>
  <c r="J41" i="46"/>
  <c r="J39" i="46"/>
  <c r="J35" i="46"/>
  <c r="J31" i="46"/>
  <c r="J29" i="46"/>
  <c r="J27" i="46"/>
  <c r="G25" i="46"/>
  <c r="J22" i="46"/>
  <c r="G20" i="46"/>
  <c r="J20" i="46"/>
  <c r="G43" i="46"/>
  <c r="C13" i="46" s="1"/>
  <c r="C14" i="46" s="1"/>
  <c r="J36" i="46"/>
  <c r="J40" i="46"/>
  <c r="J24" i="46"/>
  <c r="J41" i="45"/>
  <c r="G40" i="45"/>
  <c r="J35" i="45"/>
  <c r="G36" i="45"/>
  <c r="J33" i="45"/>
  <c r="J29" i="45"/>
  <c r="J25" i="45"/>
  <c r="J22" i="45"/>
  <c r="J20" i="45"/>
  <c r="G32" i="45"/>
  <c r="J31" i="45"/>
  <c r="G29" i="45"/>
  <c r="J27" i="45"/>
  <c r="J26" i="45"/>
  <c r="G22" i="45"/>
  <c r="J21" i="45"/>
  <c r="J28" i="45"/>
  <c r="J34" i="45"/>
  <c r="J38" i="45"/>
  <c r="J32" i="45"/>
  <c r="J23" i="45"/>
  <c r="J41" i="44"/>
  <c r="G39" i="44"/>
  <c r="J39" i="44"/>
  <c r="J36" i="44"/>
  <c r="G35" i="44"/>
  <c r="J35" i="44"/>
  <c r="J32" i="44"/>
  <c r="J28" i="44"/>
  <c r="J24" i="44"/>
  <c r="G23" i="44"/>
  <c r="G43" i="44" s="1"/>
  <c r="C13" i="44" s="1"/>
  <c r="C14" i="44" s="1"/>
  <c r="J21" i="44"/>
  <c r="J33" i="44"/>
  <c r="J37" i="44"/>
  <c r="G25" i="43"/>
  <c r="G38" i="43"/>
  <c r="R26" i="43"/>
  <c r="L44" i="43"/>
  <c r="G27" i="43"/>
  <c r="G31" i="43"/>
  <c r="G33" i="43"/>
  <c r="G35" i="43"/>
  <c r="G37" i="43"/>
  <c r="G24" i="43"/>
  <c r="G26" i="43"/>
  <c r="G28" i="43"/>
  <c r="G30" i="43"/>
  <c r="G34" i="43"/>
  <c r="J27" i="43"/>
  <c r="J35" i="43"/>
  <c r="J36" i="43"/>
  <c r="J34" i="43"/>
  <c r="J31" i="43"/>
  <c r="J29" i="43"/>
  <c r="G29" i="43"/>
  <c r="J22" i="43"/>
  <c r="J24" i="43"/>
  <c r="J37" i="43"/>
  <c r="G40" i="43"/>
  <c r="J40" i="43"/>
  <c r="J41" i="43"/>
  <c r="G36" i="43"/>
  <c r="G32" i="43"/>
  <c r="J30" i="43"/>
  <c r="J26" i="43"/>
  <c r="J25" i="43"/>
  <c r="G22" i="43"/>
  <c r="J20" i="43"/>
  <c r="J33" i="43"/>
  <c r="J28" i="43"/>
  <c r="J38" i="43"/>
  <c r="J32" i="43"/>
  <c r="J23" i="43"/>
  <c r="J40" i="42"/>
  <c r="J41" i="42"/>
  <c r="J37" i="42"/>
  <c r="G36" i="42"/>
  <c r="J31" i="42"/>
  <c r="G32" i="42"/>
  <c r="G43" i="42" s="1"/>
  <c r="C13" i="42" s="1"/>
  <c r="C14" i="42" s="1"/>
  <c r="J27" i="42"/>
  <c r="J24" i="42"/>
  <c r="J25" i="42"/>
  <c r="J23" i="42"/>
  <c r="J22" i="42"/>
  <c r="J20" i="42"/>
  <c r="J28" i="42"/>
  <c r="J34" i="42"/>
  <c r="J38" i="42"/>
  <c r="J30" i="42"/>
  <c r="G38" i="41"/>
  <c r="J33" i="41"/>
  <c r="G34" i="41"/>
  <c r="J32" i="41"/>
  <c r="J27" i="41"/>
  <c r="G28" i="41"/>
  <c r="G25" i="41"/>
  <c r="J22" i="41"/>
  <c r="J23" i="41"/>
  <c r="G20" i="41"/>
  <c r="J20" i="41"/>
  <c r="G43" i="41"/>
  <c r="C13" i="41" s="1"/>
  <c r="C14" i="41" s="1"/>
  <c r="J21" i="41"/>
  <c r="J25" i="41"/>
  <c r="J36" i="41"/>
  <c r="J40" i="41"/>
  <c r="J24" i="41"/>
  <c r="J40" i="40"/>
  <c r="J41" i="40"/>
  <c r="J33" i="40"/>
  <c r="J31" i="40"/>
  <c r="J30" i="40"/>
  <c r="G29" i="40"/>
  <c r="J29" i="40"/>
  <c r="J27" i="40"/>
  <c r="J24" i="40"/>
  <c r="G22" i="40"/>
  <c r="C14" i="40" s="1"/>
  <c r="J22" i="40"/>
  <c r="J28" i="40"/>
  <c r="J34" i="40"/>
  <c r="J38" i="40"/>
  <c r="J32" i="40"/>
  <c r="J23" i="40"/>
  <c r="J41" i="39"/>
  <c r="J33" i="39"/>
  <c r="J31" i="39"/>
  <c r="J29" i="39"/>
  <c r="J26" i="39"/>
  <c r="J20" i="39"/>
  <c r="G21" i="39"/>
  <c r="G43" i="39"/>
  <c r="C13" i="39" s="1"/>
  <c r="C14" i="39" s="1"/>
  <c r="J28" i="39"/>
  <c r="J34" i="39"/>
  <c r="J38" i="39"/>
  <c r="J25" i="39"/>
  <c r="J32" i="39"/>
  <c r="J23" i="39"/>
  <c r="G41" i="38"/>
  <c r="J41" i="38"/>
  <c r="J39" i="38"/>
  <c r="G37" i="38"/>
  <c r="J37" i="38"/>
  <c r="G33" i="38"/>
  <c r="J33" i="38"/>
  <c r="J29" i="38"/>
  <c r="J27" i="38"/>
  <c r="G26" i="38"/>
  <c r="J26" i="38"/>
  <c r="J24" i="38"/>
  <c r="J22" i="38"/>
  <c r="G23" i="38"/>
  <c r="G43" i="38"/>
  <c r="C13" i="38" s="1"/>
  <c r="C14" i="38" s="1"/>
  <c r="J28" i="38"/>
  <c r="J34" i="38"/>
  <c r="G39" i="37"/>
  <c r="J38" i="37"/>
  <c r="J36" i="37"/>
  <c r="G35" i="37"/>
  <c r="J32" i="37"/>
  <c r="J29" i="37"/>
  <c r="J25" i="37"/>
  <c r="G23" i="37"/>
  <c r="G43" i="37" s="1"/>
  <c r="G21" i="37"/>
  <c r="J21" i="37"/>
  <c r="J33" i="37"/>
  <c r="J37" i="37"/>
  <c r="J41" i="37"/>
  <c r="J23" i="37"/>
  <c r="G40" i="36"/>
  <c r="J41" i="36"/>
  <c r="J39" i="36"/>
  <c r="G38" i="36"/>
  <c r="J37" i="36"/>
  <c r="G36" i="36"/>
  <c r="J35" i="36"/>
  <c r="G34" i="36"/>
  <c r="J32" i="36"/>
  <c r="J33" i="36"/>
  <c r="G32" i="36"/>
  <c r="G28" i="36"/>
  <c r="J28" i="36"/>
  <c r="J27" i="36"/>
  <c r="J26" i="36"/>
  <c r="J22" i="36"/>
  <c r="J21" i="36"/>
  <c r="J29" i="36"/>
  <c r="J36" i="36"/>
  <c r="J40" i="36"/>
  <c r="J24" i="36"/>
  <c r="J41" i="35"/>
  <c r="J37" i="35"/>
  <c r="J34" i="35"/>
  <c r="G31" i="35"/>
  <c r="J32" i="35"/>
  <c r="G30" i="35"/>
  <c r="J26" i="35"/>
  <c r="G24" i="35"/>
  <c r="G25" i="35"/>
  <c r="J24" i="35"/>
  <c r="J21" i="35"/>
  <c r="G20" i="35"/>
  <c r="G43" i="35"/>
  <c r="C13" i="35" s="1"/>
  <c r="C14" i="35" s="1"/>
  <c r="J25" i="35"/>
  <c r="J30" i="35"/>
  <c r="J23" i="35"/>
  <c r="J41" i="34"/>
  <c r="J39" i="34"/>
  <c r="G38" i="34"/>
  <c r="J36" i="34"/>
  <c r="G34" i="34"/>
  <c r="J34" i="34"/>
  <c r="J32" i="34"/>
  <c r="J29" i="34"/>
  <c r="J27" i="34"/>
  <c r="G25" i="34"/>
  <c r="G43" i="34" s="1"/>
  <c r="C13" i="34" s="1"/>
  <c r="C14" i="34" s="1"/>
  <c r="J22" i="34"/>
  <c r="J20" i="34"/>
  <c r="G20" i="34"/>
  <c r="J24" i="34"/>
  <c r="J41" i="33"/>
  <c r="J37" i="33"/>
  <c r="J33" i="33"/>
  <c r="J29" i="33"/>
  <c r="J28" i="33"/>
  <c r="J24" i="33"/>
  <c r="J22" i="33"/>
  <c r="G43" i="33"/>
  <c r="C13" i="33" s="1"/>
  <c r="C14" i="33" s="1"/>
  <c r="J34" i="33"/>
  <c r="L43" i="33" s="1"/>
  <c r="L45" i="33" s="1"/>
  <c r="J38" i="33"/>
  <c r="L44" i="29"/>
  <c r="G43" i="29"/>
  <c r="C13" i="29" s="1"/>
  <c r="C14" i="29"/>
  <c r="J32" i="29"/>
  <c r="J23" i="29"/>
  <c r="L43" i="29" s="1"/>
  <c r="L45" i="29" s="1"/>
  <c r="G43" i="26"/>
  <c r="C13" i="26" s="1"/>
  <c r="C14" i="26" s="1"/>
  <c r="J23" i="26"/>
  <c r="L43" i="26" s="1"/>
  <c r="L45" i="26" s="1"/>
  <c r="I42" i="24"/>
  <c r="L41" i="24"/>
  <c r="I41" i="24"/>
  <c r="F41" i="24"/>
  <c r="E41" i="24"/>
  <c r="G41" i="24" s="1"/>
  <c r="L40" i="24"/>
  <c r="I40" i="24"/>
  <c r="J40" i="24" s="1"/>
  <c r="F40" i="24"/>
  <c r="E40" i="24"/>
  <c r="G40" i="24" s="1"/>
  <c r="L39" i="24"/>
  <c r="I39" i="24"/>
  <c r="F39" i="24"/>
  <c r="E39" i="24"/>
  <c r="G39" i="24" s="1"/>
  <c r="L38" i="24"/>
  <c r="J38" i="24"/>
  <c r="I38" i="24"/>
  <c r="F38" i="24"/>
  <c r="E38" i="24"/>
  <c r="L37" i="24"/>
  <c r="I37" i="24"/>
  <c r="J37" i="24" s="1"/>
  <c r="F37" i="24"/>
  <c r="E37" i="24"/>
  <c r="G37" i="24" s="1"/>
  <c r="L36" i="24"/>
  <c r="I36" i="24"/>
  <c r="F36" i="24"/>
  <c r="E36" i="24"/>
  <c r="G36" i="24" s="1"/>
  <c r="L35" i="24"/>
  <c r="I35" i="24"/>
  <c r="J35" i="24" s="1"/>
  <c r="F35" i="24"/>
  <c r="E35" i="24"/>
  <c r="G35" i="24" s="1"/>
  <c r="L34" i="24"/>
  <c r="I34" i="24"/>
  <c r="F34" i="24"/>
  <c r="E34" i="24"/>
  <c r="L33" i="24"/>
  <c r="I33" i="24"/>
  <c r="J34" i="24" s="1"/>
  <c r="F33" i="24"/>
  <c r="E33" i="24"/>
  <c r="G33" i="24" s="1"/>
  <c r="L32" i="24"/>
  <c r="I32" i="24"/>
  <c r="F32" i="24"/>
  <c r="E32" i="24"/>
  <c r="G32" i="24" s="1"/>
  <c r="L31" i="24"/>
  <c r="J31" i="24"/>
  <c r="I31" i="24"/>
  <c r="F31" i="24"/>
  <c r="E31" i="24"/>
  <c r="G31" i="24" s="1"/>
  <c r="L30" i="24"/>
  <c r="I30" i="24"/>
  <c r="J30" i="24" s="1"/>
  <c r="F30" i="24"/>
  <c r="E30" i="24"/>
  <c r="G30" i="24" s="1"/>
  <c r="L29" i="24"/>
  <c r="I29" i="24"/>
  <c r="F29" i="24"/>
  <c r="E29" i="24"/>
  <c r="G29" i="24" s="1"/>
  <c r="L28" i="24"/>
  <c r="I28" i="24"/>
  <c r="J28" i="24" s="1"/>
  <c r="F28" i="24"/>
  <c r="E28" i="24"/>
  <c r="L27" i="24"/>
  <c r="I27" i="24"/>
  <c r="F27" i="24"/>
  <c r="E27" i="24"/>
  <c r="G27" i="24" s="1"/>
  <c r="L26" i="24"/>
  <c r="I26" i="24"/>
  <c r="J26" i="24" s="1"/>
  <c r="G26" i="24"/>
  <c r="F26" i="24"/>
  <c r="E26" i="24"/>
  <c r="Q25" i="24"/>
  <c r="Q26" i="24" s="1"/>
  <c r="R26" i="24" s="1"/>
  <c r="L25" i="24"/>
  <c r="J25" i="24"/>
  <c r="I25" i="24"/>
  <c r="F25" i="24"/>
  <c r="E25" i="24"/>
  <c r="L24" i="24"/>
  <c r="I24" i="24"/>
  <c r="F24" i="24"/>
  <c r="E24" i="24"/>
  <c r="G24" i="24" s="1"/>
  <c r="R23" i="24"/>
  <c r="L23" i="24"/>
  <c r="I23" i="24"/>
  <c r="J23" i="24" s="1"/>
  <c r="F23" i="24"/>
  <c r="E23" i="24"/>
  <c r="G23" i="24" s="1"/>
  <c r="L22" i="24"/>
  <c r="I22" i="24"/>
  <c r="F22" i="24"/>
  <c r="E22" i="24"/>
  <c r="G22" i="24" s="1"/>
  <c r="L21" i="24"/>
  <c r="I21" i="24"/>
  <c r="J21" i="24" s="1"/>
  <c r="F21" i="24"/>
  <c r="E21" i="24"/>
  <c r="G21" i="24" s="1"/>
  <c r="L20" i="24"/>
  <c r="I20" i="24"/>
  <c r="F20" i="24"/>
  <c r="E20" i="24"/>
  <c r="Q19" i="24"/>
  <c r="I19" i="24"/>
  <c r="J20" i="24" s="1"/>
  <c r="I18" i="24"/>
  <c r="R17" i="24"/>
  <c r="R15" i="24"/>
  <c r="R13" i="24"/>
  <c r="C12" i="24"/>
  <c r="R11" i="24"/>
  <c r="Q6" i="24"/>
  <c r="Q5" i="24"/>
  <c r="F20" i="22"/>
  <c r="K18" i="23"/>
  <c r="C12" i="23"/>
  <c r="C12" i="22"/>
  <c r="C12" i="14"/>
  <c r="L41" i="23"/>
  <c r="I41" i="23"/>
  <c r="J41" i="23" s="1"/>
  <c r="F41" i="23"/>
  <c r="E41" i="23"/>
  <c r="G41" i="23" s="1"/>
  <c r="L40" i="23"/>
  <c r="I40" i="23"/>
  <c r="F40" i="23"/>
  <c r="E40" i="23"/>
  <c r="L39" i="23"/>
  <c r="I39" i="23"/>
  <c r="J39" i="23" s="1"/>
  <c r="F39" i="23"/>
  <c r="E39" i="23"/>
  <c r="G39" i="23" s="1"/>
  <c r="L38" i="23"/>
  <c r="I38" i="23"/>
  <c r="F38" i="23"/>
  <c r="E38" i="23"/>
  <c r="L37" i="23"/>
  <c r="I37" i="23"/>
  <c r="J37" i="23" s="1"/>
  <c r="F37" i="23"/>
  <c r="E37" i="23"/>
  <c r="G37" i="23" s="1"/>
  <c r="L36" i="23"/>
  <c r="I36" i="23"/>
  <c r="F36" i="23"/>
  <c r="E36" i="23"/>
  <c r="L35" i="23"/>
  <c r="I35" i="23"/>
  <c r="J35" i="23" s="1"/>
  <c r="F35" i="23"/>
  <c r="E35" i="23"/>
  <c r="G35" i="23" s="1"/>
  <c r="L34" i="23"/>
  <c r="I34" i="23"/>
  <c r="F34" i="23"/>
  <c r="E34" i="23"/>
  <c r="L33" i="23"/>
  <c r="I33" i="23"/>
  <c r="J33" i="23" s="1"/>
  <c r="F33" i="23"/>
  <c r="E33" i="23"/>
  <c r="G33" i="23" s="1"/>
  <c r="L32" i="23"/>
  <c r="I32" i="23"/>
  <c r="F32" i="23"/>
  <c r="E32" i="23"/>
  <c r="L31" i="23"/>
  <c r="I31" i="23"/>
  <c r="J32" i="23" s="1"/>
  <c r="F31" i="23"/>
  <c r="E31" i="23"/>
  <c r="G31" i="23" s="1"/>
  <c r="L30" i="23"/>
  <c r="I30" i="23"/>
  <c r="F30" i="23"/>
  <c r="E30" i="23"/>
  <c r="G30" i="23" s="1"/>
  <c r="L29" i="23"/>
  <c r="I29" i="23"/>
  <c r="G29" i="23"/>
  <c r="F29" i="23"/>
  <c r="E29" i="23"/>
  <c r="L28" i="23"/>
  <c r="I28" i="23"/>
  <c r="F28" i="23"/>
  <c r="E28" i="23"/>
  <c r="L27" i="23"/>
  <c r="I27" i="23"/>
  <c r="J27" i="23" s="1"/>
  <c r="F27" i="23"/>
  <c r="E27" i="23"/>
  <c r="G27" i="23" s="1"/>
  <c r="L26" i="23"/>
  <c r="I26" i="23"/>
  <c r="F26" i="23"/>
  <c r="E26" i="23"/>
  <c r="G26" i="23" s="1"/>
  <c r="Q25" i="23"/>
  <c r="Q26" i="23" s="1"/>
  <c r="R26" i="23" s="1"/>
  <c r="L25" i="23"/>
  <c r="I25" i="23"/>
  <c r="F25" i="23"/>
  <c r="E25" i="23"/>
  <c r="G25" i="23" s="1"/>
  <c r="L24" i="23"/>
  <c r="I24" i="23"/>
  <c r="F24" i="23"/>
  <c r="E24" i="23"/>
  <c r="G24" i="23" s="1"/>
  <c r="R23" i="23"/>
  <c r="L23" i="23"/>
  <c r="I23" i="23"/>
  <c r="F23" i="23"/>
  <c r="E23" i="23"/>
  <c r="G23" i="23" s="1"/>
  <c r="L22" i="23"/>
  <c r="I22" i="23"/>
  <c r="J22" i="23" s="1"/>
  <c r="F22" i="23"/>
  <c r="E22" i="23"/>
  <c r="G22" i="23" s="1"/>
  <c r="L21" i="23"/>
  <c r="I21" i="23"/>
  <c r="J21" i="23" s="1"/>
  <c r="F21" i="23"/>
  <c r="E21" i="23"/>
  <c r="G21" i="23" s="1"/>
  <c r="L20" i="23"/>
  <c r="I20" i="23"/>
  <c r="F20" i="23"/>
  <c r="E20" i="23"/>
  <c r="G20" i="23" s="1"/>
  <c r="Q19" i="23"/>
  <c r="I19" i="23"/>
  <c r="I18" i="23"/>
  <c r="R17" i="23"/>
  <c r="R15" i="23"/>
  <c r="R13" i="23"/>
  <c r="R11" i="23"/>
  <c r="Q6" i="23"/>
  <c r="Q5" i="23"/>
  <c r="L41" i="22"/>
  <c r="I41" i="22"/>
  <c r="F41" i="22"/>
  <c r="E41" i="22"/>
  <c r="G41" i="22" s="1"/>
  <c r="L40" i="22"/>
  <c r="J40" i="22"/>
  <c r="I40" i="22"/>
  <c r="F40" i="22"/>
  <c r="E40" i="22"/>
  <c r="G40" i="22" s="1"/>
  <c r="L39" i="22"/>
  <c r="I39" i="22"/>
  <c r="J39" i="22" s="1"/>
  <c r="F39" i="22"/>
  <c r="E39" i="22"/>
  <c r="G39" i="22" s="1"/>
  <c r="L38" i="22"/>
  <c r="I38" i="22"/>
  <c r="F38" i="22"/>
  <c r="E38" i="22"/>
  <c r="G38" i="22" s="1"/>
  <c r="L37" i="22"/>
  <c r="I37" i="22"/>
  <c r="J37" i="22" s="1"/>
  <c r="G37" i="22"/>
  <c r="F37" i="22"/>
  <c r="E37" i="22"/>
  <c r="L36" i="22"/>
  <c r="I36" i="22"/>
  <c r="F36" i="22"/>
  <c r="E36" i="22"/>
  <c r="G36" i="22" s="1"/>
  <c r="L35" i="22"/>
  <c r="I35" i="22"/>
  <c r="J35" i="22" s="1"/>
  <c r="F35" i="22"/>
  <c r="E35" i="22"/>
  <c r="G35" i="22" s="1"/>
  <c r="L34" i="22"/>
  <c r="I34" i="22"/>
  <c r="J34" i="22" s="1"/>
  <c r="F34" i="22"/>
  <c r="E34" i="22"/>
  <c r="G34" i="22" s="1"/>
  <c r="L33" i="22"/>
  <c r="I33" i="22"/>
  <c r="F33" i="22"/>
  <c r="E33" i="22"/>
  <c r="G33" i="22" s="1"/>
  <c r="L32" i="22"/>
  <c r="I32" i="22"/>
  <c r="F32" i="22"/>
  <c r="E32" i="22"/>
  <c r="G32" i="22" s="1"/>
  <c r="L31" i="22"/>
  <c r="I31" i="22"/>
  <c r="F31" i="22"/>
  <c r="E31" i="22"/>
  <c r="G31" i="22" s="1"/>
  <c r="L30" i="22"/>
  <c r="I30" i="22"/>
  <c r="J30" i="22" s="1"/>
  <c r="F30" i="22"/>
  <c r="E30" i="22"/>
  <c r="G30" i="22" s="1"/>
  <c r="L29" i="22"/>
  <c r="I29" i="22"/>
  <c r="F29" i="22"/>
  <c r="E29" i="22"/>
  <c r="L28" i="22"/>
  <c r="I28" i="22"/>
  <c r="J29" i="22" s="1"/>
  <c r="F28" i="22"/>
  <c r="E28" i="22"/>
  <c r="G28" i="22" s="1"/>
  <c r="L27" i="22"/>
  <c r="I27" i="22"/>
  <c r="F27" i="22"/>
  <c r="E27" i="22"/>
  <c r="G27" i="22" s="1"/>
  <c r="Q26" i="22"/>
  <c r="R26" i="22" s="1"/>
  <c r="L26" i="22"/>
  <c r="I26" i="22"/>
  <c r="F26" i="22"/>
  <c r="E26" i="22"/>
  <c r="G26" i="22" s="1"/>
  <c r="Q25" i="22"/>
  <c r="L25" i="22"/>
  <c r="I25" i="22"/>
  <c r="J25" i="22" s="1"/>
  <c r="F25" i="22"/>
  <c r="E25" i="22"/>
  <c r="L24" i="22"/>
  <c r="I24" i="22"/>
  <c r="J24" i="22" s="1"/>
  <c r="F24" i="22"/>
  <c r="E24" i="22"/>
  <c r="G24" i="22" s="1"/>
  <c r="R23" i="22"/>
  <c r="L23" i="22"/>
  <c r="I23" i="22"/>
  <c r="F23" i="22"/>
  <c r="E23" i="22"/>
  <c r="G23" i="22" s="1"/>
  <c r="L22" i="22"/>
  <c r="I22" i="22"/>
  <c r="F22" i="22"/>
  <c r="E22" i="22"/>
  <c r="L21" i="22"/>
  <c r="I21" i="22"/>
  <c r="F21" i="22"/>
  <c r="E21" i="22"/>
  <c r="G21" i="22" s="1"/>
  <c r="L20" i="22"/>
  <c r="I20" i="22"/>
  <c r="J20" i="22" s="1"/>
  <c r="E20" i="22"/>
  <c r="Q19" i="22"/>
  <c r="I19" i="22"/>
  <c r="I18" i="22"/>
  <c r="R17" i="22"/>
  <c r="R15" i="22"/>
  <c r="R13" i="22"/>
  <c r="R11" i="22"/>
  <c r="Q6" i="22"/>
  <c r="Q5" i="22"/>
  <c r="C12" i="21"/>
  <c r="L41" i="21"/>
  <c r="I41" i="21"/>
  <c r="F41" i="21"/>
  <c r="E41" i="21"/>
  <c r="G41" i="21" s="1"/>
  <c r="L40" i="21"/>
  <c r="I40" i="21"/>
  <c r="J40" i="21" s="1"/>
  <c r="F40" i="21"/>
  <c r="E40" i="21"/>
  <c r="G40" i="21" s="1"/>
  <c r="L39" i="21"/>
  <c r="I39" i="21"/>
  <c r="F39" i="21"/>
  <c r="E39" i="21"/>
  <c r="G39" i="21" s="1"/>
  <c r="L38" i="21"/>
  <c r="I38" i="21"/>
  <c r="J39" i="21" s="1"/>
  <c r="F38" i="21"/>
  <c r="E38" i="21"/>
  <c r="G38" i="21" s="1"/>
  <c r="L37" i="21"/>
  <c r="I37" i="21"/>
  <c r="J37" i="21" s="1"/>
  <c r="G37" i="21"/>
  <c r="F37" i="21"/>
  <c r="E37" i="21"/>
  <c r="L36" i="21"/>
  <c r="I36" i="21"/>
  <c r="F36" i="21"/>
  <c r="E36" i="21"/>
  <c r="G36" i="21" s="1"/>
  <c r="L35" i="21"/>
  <c r="I35" i="21"/>
  <c r="J36" i="21" s="1"/>
  <c r="F35" i="21"/>
  <c r="E35" i="21"/>
  <c r="G35" i="21" s="1"/>
  <c r="L34" i="21"/>
  <c r="I34" i="21"/>
  <c r="F34" i="21"/>
  <c r="E34" i="21"/>
  <c r="G34" i="21" s="1"/>
  <c r="L33" i="21"/>
  <c r="I33" i="21"/>
  <c r="F33" i="21"/>
  <c r="E33" i="21"/>
  <c r="G33" i="21" s="1"/>
  <c r="L32" i="21"/>
  <c r="I32" i="21"/>
  <c r="F32" i="21"/>
  <c r="E32" i="21"/>
  <c r="G32" i="21" s="1"/>
  <c r="L31" i="21"/>
  <c r="I31" i="21"/>
  <c r="F31" i="21"/>
  <c r="E31" i="21"/>
  <c r="G31" i="21" s="1"/>
  <c r="L30" i="21"/>
  <c r="I30" i="21"/>
  <c r="J30" i="21" s="1"/>
  <c r="F30" i="21"/>
  <c r="E30" i="21"/>
  <c r="G30" i="21" s="1"/>
  <c r="L29" i="21"/>
  <c r="I29" i="21"/>
  <c r="F29" i="21"/>
  <c r="E29" i="21"/>
  <c r="G29" i="21" s="1"/>
  <c r="L28" i="21"/>
  <c r="I28" i="21"/>
  <c r="J29" i="21" s="1"/>
  <c r="F28" i="21"/>
  <c r="E28" i="21"/>
  <c r="G28" i="21" s="1"/>
  <c r="L27" i="21"/>
  <c r="I27" i="21"/>
  <c r="F27" i="21"/>
  <c r="E27" i="21"/>
  <c r="Q26" i="21"/>
  <c r="R26" i="21" s="1"/>
  <c r="L26" i="21"/>
  <c r="I26" i="21"/>
  <c r="F26" i="21"/>
  <c r="E26" i="21"/>
  <c r="Q25" i="21"/>
  <c r="L25" i="21"/>
  <c r="I25" i="21"/>
  <c r="F25" i="21"/>
  <c r="E25" i="21"/>
  <c r="G25" i="21" s="1"/>
  <c r="L24" i="21"/>
  <c r="I24" i="21"/>
  <c r="F24" i="21"/>
  <c r="E24" i="21"/>
  <c r="G24" i="21" s="1"/>
  <c r="R23" i="21"/>
  <c r="L23" i="21"/>
  <c r="I23" i="21"/>
  <c r="G23" i="21"/>
  <c r="F23" i="21"/>
  <c r="E23" i="21"/>
  <c r="L22" i="21"/>
  <c r="I22" i="21"/>
  <c r="F22" i="21"/>
  <c r="E22" i="21"/>
  <c r="G22" i="21" s="1"/>
  <c r="L21" i="21"/>
  <c r="I21" i="21"/>
  <c r="J21" i="21" s="1"/>
  <c r="F21" i="21"/>
  <c r="E21" i="21"/>
  <c r="G21" i="21" s="1"/>
  <c r="L20" i="21"/>
  <c r="L44" i="21" s="1"/>
  <c r="I20" i="21"/>
  <c r="J20" i="21" s="1"/>
  <c r="F20" i="21"/>
  <c r="E20" i="21"/>
  <c r="G20" i="21" s="1"/>
  <c r="Q19" i="21"/>
  <c r="I19" i="21"/>
  <c r="I18" i="21"/>
  <c r="R17" i="21"/>
  <c r="R15" i="21"/>
  <c r="R13" i="21"/>
  <c r="R11" i="21"/>
  <c r="Q6" i="21"/>
  <c r="Q5" i="21"/>
  <c r="G40" i="20"/>
  <c r="L44" i="20"/>
  <c r="L41" i="20"/>
  <c r="I41" i="20"/>
  <c r="F41" i="20"/>
  <c r="E41" i="20"/>
  <c r="G41" i="20" s="1"/>
  <c r="I40" i="20"/>
  <c r="F40" i="20"/>
  <c r="Q26" i="20"/>
  <c r="R26" i="20" s="1"/>
  <c r="Q25" i="20"/>
  <c r="R23" i="20"/>
  <c r="Q19" i="20"/>
  <c r="I18" i="20"/>
  <c r="R17" i="20"/>
  <c r="R15" i="20"/>
  <c r="R13" i="20"/>
  <c r="R11" i="20"/>
  <c r="Q6" i="20"/>
  <c r="Q5" i="20"/>
  <c r="L41" i="19"/>
  <c r="I41" i="19"/>
  <c r="F41" i="19"/>
  <c r="E41" i="19"/>
  <c r="G41" i="19" s="1"/>
  <c r="L40" i="19"/>
  <c r="I40" i="19"/>
  <c r="J40" i="19" s="1"/>
  <c r="F40" i="19"/>
  <c r="E40" i="19"/>
  <c r="L39" i="19"/>
  <c r="I39" i="19"/>
  <c r="F39" i="19"/>
  <c r="E39" i="19"/>
  <c r="G39" i="19" s="1"/>
  <c r="L38" i="19"/>
  <c r="I38" i="19"/>
  <c r="J38" i="19" s="1"/>
  <c r="F38" i="19"/>
  <c r="E38" i="19"/>
  <c r="G38" i="19" s="1"/>
  <c r="L37" i="19"/>
  <c r="I37" i="19"/>
  <c r="F37" i="19"/>
  <c r="E37" i="19"/>
  <c r="G37" i="19" s="1"/>
  <c r="L36" i="19"/>
  <c r="I36" i="19"/>
  <c r="F36" i="19"/>
  <c r="E36" i="19"/>
  <c r="G36" i="19" s="1"/>
  <c r="L35" i="19"/>
  <c r="I35" i="19"/>
  <c r="J35" i="19" s="1"/>
  <c r="F35" i="19"/>
  <c r="E35" i="19"/>
  <c r="G35" i="19" s="1"/>
  <c r="L34" i="19"/>
  <c r="I34" i="19"/>
  <c r="F34" i="19"/>
  <c r="E34" i="19"/>
  <c r="G34" i="19" s="1"/>
  <c r="L33" i="19"/>
  <c r="I33" i="19"/>
  <c r="J33" i="19" s="1"/>
  <c r="G33" i="19"/>
  <c r="F33" i="19"/>
  <c r="E33" i="19"/>
  <c r="L32" i="19"/>
  <c r="I32" i="19"/>
  <c r="F32" i="19"/>
  <c r="E32" i="19"/>
  <c r="G32" i="19" s="1"/>
  <c r="L31" i="19"/>
  <c r="J31" i="19"/>
  <c r="I31" i="19"/>
  <c r="F31" i="19"/>
  <c r="E31" i="19"/>
  <c r="G31" i="19" s="1"/>
  <c r="L30" i="19"/>
  <c r="I30" i="19"/>
  <c r="J30" i="19" s="1"/>
  <c r="F30" i="19"/>
  <c r="E30" i="19"/>
  <c r="G30" i="19" s="1"/>
  <c r="L29" i="19"/>
  <c r="I29" i="19"/>
  <c r="F29" i="19"/>
  <c r="E29" i="19"/>
  <c r="G29" i="19" s="1"/>
  <c r="L28" i="19"/>
  <c r="I28" i="19"/>
  <c r="J28" i="19" s="1"/>
  <c r="F28" i="19"/>
  <c r="E28" i="19"/>
  <c r="G28" i="19" s="1"/>
  <c r="L27" i="19"/>
  <c r="I27" i="19"/>
  <c r="F27" i="19"/>
  <c r="E27" i="19"/>
  <c r="G27" i="19" s="1"/>
  <c r="L26" i="19"/>
  <c r="I26" i="19"/>
  <c r="J26" i="19" s="1"/>
  <c r="F26" i="19"/>
  <c r="E26" i="19"/>
  <c r="G26" i="19" s="1"/>
  <c r="Q25" i="19"/>
  <c r="Q26" i="19" s="1"/>
  <c r="R26" i="19" s="1"/>
  <c r="L25" i="19"/>
  <c r="I25" i="19"/>
  <c r="J25" i="19" s="1"/>
  <c r="F25" i="19"/>
  <c r="E25" i="19"/>
  <c r="L24" i="19"/>
  <c r="I24" i="19"/>
  <c r="F24" i="19"/>
  <c r="E24" i="19"/>
  <c r="G24" i="19" s="1"/>
  <c r="R23" i="19"/>
  <c r="L23" i="19"/>
  <c r="I23" i="19"/>
  <c r="J23" i="19" s="1"/>
  <c r="F23" i="19"/>
  <c r="E23" i="19"/>
  <c r="G23" i="19" s="1"/>
  <c r="L22" i="19"/>
  <c r="I22" i="19"/>
  <c r="F22" i="19"/>
  <c r="E22" i="19"/>
  <c r="G22" i="19" s="1"/>
  <c r="L21" i="19"/>
  <c r="I21" i="19"/>
  <c r="J21" i="19" s="1"/>
  <c r="F21" i="19"/>
  <c r="E21" i="19"/>
  <c r="G21" i="19" s="1"/>
  <c r="L20" i="19"/>
  <c r="L44" i="19" s="1"/>
  <c r="I20" i="19"/>
  <c r="F20" i="19"/>
  <c r="E20" i="19"/>
  <c r="Q19" i="19"/>
  <c r="I19" i="19"/>
  <c r="I18" i="19"/>
  <c r="R17" i="19"/>
  <c r="R15" i="19"/>
  <c r="R13" i="19"/>
  <c r="R11" i="19"/>
  <c r="Q6" i="19"/>
  <c r="Q5" i="19"/>
  <c r="I18" i="11"/>
  <c r="I18" i="14"/>
  <c r="L41" i="14"/>
  <c r="I41" i="14"/>
  <c r="F41" i="14"/>
  <c r="E41" i="14"/>
  <c r="G41" i="14" s="1"/>
  <c r="L40" i="14"/>
  <c r="I40" i="14"/>
  <c r="F40" i="14"/>
  <c r="E40" i="14"/>
  <c r="G40" i="14" s="1"/>
  <c r="L39" i="14"/>
  <c r="I39" i="14"/>
  <c r="F39" i="14"/>
  <c r="E39" i="14"/>
  <c r="L38" i="14"/>
  <c r="I38" i="14"/>
  <c r="F38" i="14"/>
  <c r="E38" i="14"/>
  <c r="G38" i="14" s="1"/>
  <c r="L37" i="14"/>
  <c r="I37" i="14"/>
  <c r="F37" i="14"/>
  <c r="E37" i="14"/>
  <c r="G37" i="14" s="1"/>
  <c r="L36" i="14"/>
  <c r="I36" i="14"/>
  <c r="F36" i="14"/>
  <c r="E36" i="14"/>
  <c r="G36" i="14" s="1"/>
  <c r="L35" i="14"/>
  <c r="I35" i="14"/>
  <c r="F35" i="14"/>
  <c r="E35" i="14"/>
  <c r="L34" i="14"/>
  <c r="I34" i="14"/>
  <c r="F34" i="14"/>
  <c r="E34" i="14"/>
  <c r="G34" i="14" s="1"/>
  <c r="L33" i="14"/>
  <c r="I33" i="14"/>
  <c r="F33" i="14"/>
  <c r="E33" i="14"/>
  <c r="G33" i="14" s="1"/>
  <c r="L32" i="14"/>
  <c r="I32" i="14"/>
  <c r="F32" i="14"/>
  <c r="E32" i="14"/>
  <c r="G32" i="14" s="1"/>
  <c r="L31" i="14"/>
  <c r="I31" i="14"/>
  <c r="F31" i="14"/>
  <c r="E31" i="14"/>
  <c r="G31" i="14" s="1"/>
  <c r="L30" i="14"/>
  <c r="I30" i="14"/>
  <c r="F30" i="14"/>
  <c r="E30" i="14"/>
  <c r="G30" i="14" s="1"/>
  <c r="L29" i="14"/>
  <c r="I29" i="14"/>
  <c r="F29" i="14"/>
  <c r="E29" i="14"/>
  <c r="G29" i="14" s="1"/>
  <c r="L28" i="14"/>
  <c r="I28" i="14"/>
  <c r="F28" i="14"/>
  <c r="E28" i="14"/>
  <c r="G28" i="14" s="1"/>
  <c r="L27" i="14"/>
  <c r="I27" i="14"/>
  <c r="F27" i="14"/>
  <c r="E27" i="14"/>
  <c r="G27" i="14" s="1"/>
  <c r="L26" i="14"/>
  <c r="I26" i="14"/>
  <c r="F26" i="14"/>
  <c r="E26" i="14"/>
  <c r="G26" i="14" s="1"/>
  <c r="Q25" i="14"/>
  <c r="Q26" i="14" s="1"/>
  <c r="R26" i="14" s="1"/>
  <c r="L25" i="14"/>
  <c r="I25" i="14"/>
  <c r="F25" i="14"/>
  <c r="E25" i="14"/>
  <c r="L24" i="14"/>
  <c r="I24" i="14"/>
  <c r="F24" i="14"/>
  <c r="E24" i="14"/>
  <c r="G24" i="14" s="1"/>
  <c r="R23" i="14"/>
  <c r="L23" i="14"/>
  <c r="I23" i="14"/>
  <c r="F23" i="14"/>
  <c r="E23" i="14"/>
  <c r="L22" i="14"/>
  <c r="I22" i="14"/>
  <c r="F22" i="14"/>
  <c r="E22" i="14"/>
  <c r="G22" i="14" s="1"/>
  <c r="L21" i="14"/>
  <c r="I21" i="14"/>
  <c r="F21" i="14"/>
  <c r="E21" i="14"/>
  <c r="G21" i="14" s="1"/>
  <c r="L20" i="14"/>
  <c r="L44" i="14" s="1"/>
  <c r="I20" i="14"/>
  <c r="F20" i="14"/>
  <c r="E20" i="14"/>
  <c r="Q19" i="14"/>
  <c r="I19" i="14"/>
  <c r="R17" i="14"/>
  <c r="R15" i="14"/>
  <c r="R13" i="14"/>
  <c r="R11" i="14"/>
  <c r="Q6" i="14"/>
  <c r="Q5" i="14"/>
  <c r="R11" i="11"/>
  <c r="R13" i="11"/>
  <c r="R15" i="11"/>
  <c r="R17" i="11"/>
  <c r="R23" i="11"/>
  <c r="R26" i="11"/>
  <c r="Q26" i="11"/>
  <c r="Q19" i="11"/>
  <c r="Q6" i="11"/>
  <c r="L41" i="11"/>
  <c r="I41" i="11"/>
  <c r="F41" i="11"/>
  <c r="E41" i="11"/>
  <c r="G41" i="11" s="1"/>
  <c r="L40" i="11"/>
  <c r="I40" i="11"/>
  <c r="F40" i="11"/>
  <c r="E40" i="11"/>
  <c r="G40" i="11" s="1"/>
  <c r="L39" i="11"/>
  <c r="I39" i="11"/>
  <c r="F39" i="11"/>
  <c r="E39" i="11"/>
  <c r="G39" i="11" s="1"/>
  <c r="L38" i="11"/>
  <c r="I38" i="11"/>
  <c r="J38" i="11" s="1"/>
  <c r="F38" i="11"/>
  <c r="E38" i="11"/>
  <c r="L37" i="11"/>
  <c r="I37" i="11"/>
  <c r="J37" i="11" s="1"/>
  <c r="F37" i="11"/>
  <c r="E37" i="11"/>
  <c r="G37" i="11" s="1"/>
  <c r="L36" i="11"/>
  <c r="I36" i="11"/>
  <c r="F36" i="11"/>
  <c r="E36" i="11"/>
  <c r="G36" i="11" s="1"/>
  <c r="L35" i="11"/>
  <c r="I35" i="11"/>
  <c r="J35" i="11" s="1"/>
  <c r="G35" i="11"/>
  <c r="F35" i="11"/>
  <c r="E35" i="11"/>
  <c r="L34" i="11"/>
  <c r="I34" i="11"/>
  <c r="J34" i="11" s="1"/>
  <c r="F34" i="11"/>
  <c r="E34" i="11"/>
  <c r="L33" i="11"/>
  <c r="I33" i="11"/>
  <c r="F33" i="11"/>
  <c r="E33" i="11"/>
  <c r="G33" i="11" s="1"/>
  <c r="L32" i="11"/>
  <c r="I32" i="11"/>
  <c r="F32" i="11"/>
  <c r="E32" i="11"/>
  <c r="G32" i="11" s="1"/>
  <c r="L31" i="11"/>
  <c r="I31" i="11"/>
  <c r="F31" i="11"/>
  <c r="E31" i="11"/>
  <c r="G31" i="11" s="1"/>
  <c r="L30" i="11"/>
  <c r="I30" i="11"/>
  <c r="J30" i="11" s="1"/>
  <c r="G30" i="11"/>
  <c r="F30" i="11"/>
  <c r="E30" i="11"/>
  <c r="L29" i="11"/>
  <c r="I29" i="11"/>
  <c r="F29" i="11"/>
  <c r="E29" i="11"/>
  <c r="L28" i="11"/>
  <c r="I28" i="11"/>
  <c r="J29" i="11" s="1"/>
  <c r="F28" i="11"/>
  <c r="E28" i="11"/>
  <c r="G28" i="11" s="1"/>
  <c r="L27" i="11"/>
  <c r="I27" i="11"/>
  <c r="F27" i="11"/>
  <c r="E27" i="11"/>
  <c r="L26" i="11"/>
  <c r="I26" i="11"/>
  <c r="F26" i="11"/>
  <c r="E26" i="11"/>
  <c r="G26" i="11" s="1"/>
  <c r="Q25" i="11"/>
  <c r="L25" i="11"/>
  <c r="I25" i="11"/>
  <c r="F25" i="11"/>
  <c r="E25" i="11"/>
  <c r="G25" i="11" s="1"/>
  <c r="L24" i="11"/>
  <c r="I24" i="11"/>
  <c r="J24" i="11" s="1"/>
  <c r="F24" i="11"/>
  <c r="E24" i="11"/>
  <c r="G24" i="11" s="1"/>
  <c r="L23" i="11"/>
  <c r="I23" i="11"/>
  <c r="J23" i="11" s="1"/>
  <c r="F23" i="11"/>
  <c r="E23" i="11"/>
  <c r="L22" i="11"/>
  <c r="I22" i="11"/>
  <c r="F22" i="11"/>
  <c r="E22" i="11"/>
  <c r="G22" i="11" s="1"/>
  <c r="L21" i="11"/>
  <c r="I21" i="11"/>
  <c r="F21" i="11"/>
  <c r="E21" i="11"/>
  <c r="G21" i="11" s="1"/>
  <c r="L20" i="11"/>
  <c r="L44" i="11" s="1"/>
  <c r="I20" i="11"/>
  <c r="F20" i="11"/>
  <c r="E20" i="11"/>
  <c r="G20" i="11" s="1"/>
  <c r="I19" i="11"/>
  <c r="J20" i="11" s="1"/>
  <c r="Q5" i="11"/>
  <c r="R31" i="10"/>
  <c r="Q26" i="10"/>
  <c r="Q25" i="10"/>
  <c r="Q19" i="10"/>
  <c r="L45" i="10"/>
  <c r="L44" i="10"/>
  <c r="L43" i="10"/>
  <c r="C14" i="4"/>
  <c r="C15" i="4" s="1"/>
  <c r="L41" i="10"/>
  <c r="I41" i="10"/>
  <c r="F41" i="10"/>
  <c r="E41" i="10"/>
  <c r="G41" i="10" s="1"/>
  <c r="L40" i="10"/>
  <c r="I40" i="10"/>
  <c r="F40" i="10"/>
  <c r="E40" i="10"/>
  <c r="G40" i="10" s="1"/>
  <c r="L39" i="10"/>
  <c r="I39" i="10"/>
  <c r="J39" i="10" s="1"/>
  <c r="F39" i="10"/>
  <c r="E39" i="10"/>
  <c r="L38" i="10"/>
  <c r="I38" i="10"/>
  <c r="F38" i="10"/>
  <c r="E38" i="10"/>
  <c r="L37" i="10"/>
  <c r="I37" i="10"/>
  <c r="J38" i="10" s="1"/>
  <c r="F37" i="10"/>
  <c r="E37" i="10"/>
  <c r="L36" i="10"/>
  <c r="I36" i="10"/>
  <c r="F36" i="10"/>
  <c r="E36" i="10"/>
  <c r="L35" i="10"/>
  <c r="I35" i="10"/>
  <c r="J35" i="10" s="1"/>
  <c r="F35" i="10"/>
  <c r="G35" i="10" s="1"/>
  <c r="E35" i="10"/>
  <c r="L34" i="10"/>
  <c r="I34" i="10"/>
  <c r="F34" i="10"/>
  <c r="E34" i="10"/>
  <c r="L33" i="10"/>
  <c r="I33" i="10"/>
  <c r="J34" i="10" s="1"/>
  <c r="F33" i="10"/>
  <c r="E33" i="10"/>
  <c r="G33" i="10" s="1"/>
  <c r="L32" i="10"/>
  <c r="I32" i="10"/>
  <c r="F32" i="10"/>
  <c r="E32" i="10"/>
  <c r="L31" i="10"/>
  <c r="I31" i="10"/>
  <c r="F31" i="10"/>
  <c r="E31" i="10"/>
  <c r="G31" i="10" s="1"/>
  <c r="L30" i="10"/>
  <c r="I30" i="10"/>
  <c r="J30" i="10" s="1"/>
  <c r="F30" i="10"/>
  <c r="E30" i="10"/>
  <c r="L29" i="10"/>
  <c r="I29" i="10"/>
  <c r="F29" i="10"/>
  <c r="E29" i="10"/>
  <c r="L28" i="10"/>
  <c r="I28" i="10"/>
  <c r="J28" i="10" s="1"/>
  <c r="F28" i="10"/>
  <c r="E28" i="10"/>
  <c r="L27" i="10"/>
  <c r="I27" i="10"/>
  <c r="F27" i="10"/>
  <c r="E27" i="10"/>
  <c r="G27" i="10" s="1"/>
  <c r="L26" i="10"/>
  <c r="I26" i="10"/>
  <c r="J26" i="10" s="1"/>
  <c r="F26" i="10"/>
  <c r="E26" i="10"/>
  <c r="G26" i="10" s="1"/>
  <c r="L25" i="10"/>
  <c r="I25" i="10"/>
  <c r="J25" i="10" s="1"/>
  <c r="F25" i="10"/>
  <c r="E25" i="10"/>
  <c r="G25" i="10" s="1"/>
  <c r="L24" i="10"/>
  <c r="I24" i="10"/>
  <c r="F24" i="10"/>
  <c r="E24" i="10"/>
  <c r="R23" i="10"/>
  <c r="L23" i="10"/>
  <c r="I23" i="10"/>
  <c r="J23" i="10" s="1"/>
  <c r="F23" i="10"/>
  <c r="E23" i="10"/>
  <c r="G23" i="10" s="1"/>
  <c r="L22" i="10"/>
  <c r="I22" i="10"/>
  <c r="F22" i="10"/>
  <c r="E22" i="10"/>
  <c r="L21" i="10"/>
  <c r="I21" i="10"/>
  <c r="J21" i="10" s="1"/>
  <c r="F21" i="10"/>
  <c r="G21" i="10" s="1"/>
  <c r="E21" i="10"/>
  <c r="L20" i="10"/>
  <c r="I20" i="10"/>
  <c r="F20" i="10"/>
  <c r="E20" i="10"/>
  <c r="I19" i="10"/>
  <c r="Q5" i="10"/>
  <c r="Q28" i="3"/>
  <c r="Q19" i="3"/>
  <c r="C14" i="3"/>
  <c r="Q18" i="3" s="1"/>
  <c r="Q26" i="3"/>
  <c r="Q25" i="3"/>
  <c r="Q19" i="4"/>
  <c r="C12" i="4"/>
  <c r="R31" i="3"/>
  <c r="L43" i="3"/>
  <c r="G43" i="3"/>
  <c r="F42" i="3"/>
  <c r="E42" i="3"/>
  <c r="E40" i="3"/>
  <c r="L44" i="3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J33" i="4"/>
  <c r="J34" i="4"/>
  <c r="J35" i="4"/>
  <c r="J36" i="4"/>
  <c r="J41" i="4"/>
  <c r="J42" i="4"/>
  <c r="I20" i="4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30" i="4" s="1"/>
  <c r="I30" i="4"/>
  <c r="I31" i="4"/>
  <c r="J31" i="4" s="1"/>
  <c r="I32" i="4"/>
  <c r="I33" i="4"/>
  <c r="I34" i="4"/>
  <c r="I35" i="4"/>
  <c r="I36" i="4"/>
  <c r="I37" i="4"/>
  <c r="J37" i="4" s="1"/>
  <c r="I38" i="4"/>
  <c r="I39" i="4"/>
  <c r="J39" i="4" s="1"/>
  <c r="I40" i="4"/>
  <c r="I41" i="4"/>
  <c r="I42" i="4"/>
  <c r="I19" i="4"/>
  <c r="G21" i="4"/>
  <c r="G22" i="4"/>
  <c r="G25" i="4"/>
  <c r="G27" i="4"/>
  <c r="G28" i="4"/>
  <c r="G29" i="4"/>
  <c r="G30" i="4"/>
  <c r="G33" i="4"/>
  <c r="G35" i="4"/>
  <c r="G36" i="4"/>
  <c r="G37" i="4"/>
  <c r="G38" i="4"/>
  <c r="G41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20" i="4"/>
  <c r="E21" i="4"/>
  <c r="E22" i="4"/>
  <c r="E23" i="4"/>
  <c r="G23" i="4" s="1"/>
  <c r="E24" i="4"/>
  <c r="G24" i="4" s="1"/>
  <c r="E25" i="4"/>
  <c r="E26" i="4"/>
  <c r="G26" i="4" s="1"/>
  <c r="E27" i="4"/>
  <c r="E28" i="4"/>
  <c r="E29" i="4"/>
  <c r="E30" i="4"/>
  <c r="E31" i="4"/>
  <c r="G31" i="4" s="1"/>
  <c r="E32" i="4"/>
  <c r="G32" i="4" s="1"/>
  <c r="E33" i="4"/>
  <c r="E34" i="4"/>
  <c r="G34" i="4" s="1"/>
  <c r="E35" i="4"/>
  <c r="E36" i="4"/>
  <c r="E37" i="4"/>
  <c r="E38" i="4"/>
  <c r="E39" i="4"/>
  <c r="G39" i="4" s="1"/>
  <c r="E40" i="4"/>
  <c r="G40" i="4" s="1"/>
  <c r="E41" i="4"/>
  <c r="E42" i="4"/>
  <c r="G42" i="4" s="1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J27" i="3"/>
  <c r="J35" i="3"/>
  <c r="J36" i="3"/>
  <c r="J37" i="3"/>
  <c r="I20" i="3"/>
  <c r="I21" i="3"/>
  <c r="J21" i="3" s="1"/>
  <c r="I22" i="3"/>
  <c r="J22" i="3" s="1"/>
  <c r="I23" i="3"/>
  <c r="J23" i="3" s="1"/>
  <c r="I24" i="3"/>
  <c r="J24" i="3" s="1"/>
  <c r="I25" i="3"/>
  <c r="I26" i="3"/>
  <c r="I27" i="3"/>
  <c r="I28" i="3"/>
  <c r="J28" i="3" s="1"/>
  <c r="I29" i="3"/>
  <c r="J29" i="3" s="1"/>
  <c r="I30" i="3"/>
  <c r="J30" i="3" s="1"/>
  <c r="I31" i="3"/>
  <c r="J31" i="3" s="1"/>
  <c r="I32" i="3"/>
  <c r="J32" i="3" s="1"/>
  <c r="I33" i="3"/>
  <c r="I34" i="3"/>
  <c r="I35" i="3"/>
  <c r="I36" i="3"/>
  <c r="I37" i="3"/>
  <c r="I38" i="3"/>
  <c r="J38" i="3" s="1"/>
  <c r="I39" i="3"/>
  <c r="J39" i="3" s="1"/>
  <c r="I40" i="3"/>
  <c r="J40" i="3" s="1"/>
  <c r="I41" i="3"/>
  <c r="I42" i="3"/>
  <c r="I19" i="3"/>
  <c r="G28" i="3"/>
  <c r="G36" i="3"/>
  <c r="G37" i="3"/>
  <c r="F21" i="3"/>
  <c r="F22" i="3"/>
  <c r="F23" i="3"/>
  <c r="F24" i="3"/>
  <c r="F25" i="3"/>
  <c r="G25" i="3" s="1"/>
  <c r="F26" i="3"/>
  <c r="F27" i="3"/>
  <c r="F28" i="3"/>
  <c r="F29" i="3"/>
  <c r="F30" i="3"/>
  <c r="F31" i="3"/>
  <c r="F32" i="3"/>
  <c r="F33" i="3"/>
  <c r="G33" i="3" s="1"/>
  <c r="F34" i="3"/>
  <c r="F35" i="3"/>
  <c r="F36" i="3"/>
  <c r="F37" i="3"/>
  <c r="F38" i="3"/>
  <c r="F39" i="3"/>
  <c r="F40" i="3"/>
  <c r="F41" i="3"/>
  <c r="G41" i="3" s="1"/>
  <c r="F20" i="3"/>
  <c r="E21" i="3"/>
  <c r="G21" i="3" s="1"/>
  <c r="E22" i="3"/>
  <c r="G22" i="3" s="1"/>
  <c r="E23" i="3"/>
  <c r="G23" i="3" s="1"/>
  <c r="E24" i="3"/>
  <c r="G24" i="3" s="1"/>
  <c r="E25" i="3"/>
  <c r="E26" i="3"/>
  <c r="E27" i="3"/>
  <c r="G27" i="3" s="1"/>
  <c r="E28" i="3"/>
  <c r="E29" i="3"/>
  <c r="G29" i="3" s="1"/>
  <c r="E30" i="3"/>
  <c r="G30" i="3" s="1"/>
  <c r="E31" i="3"/>
  <c r="G31" i="3" s="1"/>
  <c r="E32" i="3"/>
  <c r="G32" i="3" s="1"/>
  <c r="E33" i="3"/>
  <c r="E34" i="3"/>
  <c r="E35" i="3"/>
  <c r="G35" i="3" s="1"/>
  <c r="E36" i="3"/>
  <c r="E37" i="3"/>
  <c r="E38" i="3"/>
  <c r="G38" i="3" s="1"/>
  <c r="E39" i="3"/>
  <c r="G39" i="3" s="1"/>
  <c r="G40" i="3"/>
  <c r="E41" i="3"/>
  <c r="E20" i="3"/>
  <c r="G20" i="3" s="1"/>
  <c r="L43" i="51" l="1"/>
  <c r="L45" i="51" s="1"/>
  <c r="G43" i="51"/>
  <c r="C13" i="51" s="1"/>
  <c r="C14" i="51" s="1"/>
  <c r="C15" i="51" s="1"/>
  <c r="L43" i="50"/>
  <c r="L45" i="50" s="1"/>
  <c r="C15" i="50"/>
  <c r="Q18" i="50"/>
  <c r="L43" i="49"/>
  <c r="L45" i="49" s="1"/>
  <c r="C15" i="49"/>
  <c r="Q18" i="49"/>
  <c r="Q28" i="49" s="1"/>
  <c r="L43" i="48"/>
  <c r="L45" i="48" s="1"/>
  <c r="C15" i="48"/>
  <c r="Q18" i="48"/>
  <c r="L43" i="47"/>
  <c r="L45" i="47" s="1"/>
  <c r="Q18" i="47"/>
  <c r="C15" i="47"/>
  <c r="L43" i="46"/>
  <c r="L45" i="46" s="1"/>
  <c r="C15" i="46"/>
  <c r="Q18" i="46"/>
  <c r="G43" i="45"/>
  <c r="C13" i="45" s="1"/>
  <c r="C14" i="45" s="1"/>
  <c r="C15" i="45" s="1"/>
  <c r="L43" i="45"/>
  <c r="L45" i="45" s="1"/>
  <c r="L43" i="44"/>
  <c r="L45" i="44" s="1"/>
  <c r="C15" i="44"/>
  <c r="Q18" i="44"/>
  <c r="G43" i="43"/>
  <c r="C13" i="43" s="1"/>
  <c r="C14" i="43" s="1"/>
  <c r="C15" i="43" s="1"/>
  <c r="L43" i="43"/>
  <c r="L45" i="43" s="1"/>
  <c r="L43" i="42"/>
  <c r="L45" i="42" s="1"/>
  <c r="C15" i="42"/>
  <c r="Q18" i="42"/>
  <c r="L43" i="41"/>
  <c r="L45" i="41" s="1"/>
  <c r="C15" i="41"/>
  <c r="Q18" i="41"/>
  <c r="L43" i="40"/>
  <c r="L45" i="40" s="1"/>
  <c r="C15" i="40"/>
  <c r="Q18" i="40"/>
  <c r="L43" i="39"/>
  <c r="L45" i="39" s="1"/>
  <c r="C15" i="39"/>
  <c r="Q18" i="39"/>
  <c r="L43" i="38"/>
  <c r="L45" i="38" s="1"/>
  <c r="C15" i="38"/>
  <c r="Q18" i="38"/>
  <c r="L43" i="37"/>
  <c r="L45" i="37" s="1"/>
  <c r="C15" i="37"/>
  <c r="Q18" i="37"/>
  <c r="G43" i="36"/>
  <c r="L43" i="36"/>
  <c r="L45" i="36" s="1"/>
  <c r="L43" i="35"/>
  <c r="L45" i="35" s="1"/>
  <c r="C15" i="35"/>
  <c r="Q18" i="35"/>
  <c r="L43" i="34"/>
  <c r="L45" i="34" s="1"/>
  <c r="C15" i="34"/>
  <c r="Q18" i="34"/>
  <c r="Q18" i="33"/>
  <c r="C15" i="33"/>
  <c r="C15" i="29"/>
  <c r="Q18" i="29"/>
  <c r="J38" i="14"/>
  <c r="J40" i="14"/>
  <c r="J25" i="14"/>
  <c r="G25" i="14"/>
  <c r="J35" i="14"/>
  <c r="J33" i="14"/>
  <c r="J20" i="14"/>
  <c r="J22" i="14"/>
  <c r="J37" i="14"/>
  <c r="J27" i="14"/>
  <c r="J24" i="14"/>
  <c r="J26" i="14"/>
  <c r="J28" i="14"/>
  <c r="Q18" i="26"/>
  <c r="C15" i="26"/>
  <c r="L44" i="24"/>
  <c r="J41" i="24"/>
  <c r="J39" i="24"/>
  <c r="G38" i="24"/>
  <c r="J36" i="24"/>
  <c r="G34" i="24"/>
  <c r="J33" i="24"/>
  <c r="J32" i="24"/>
  <c r="J29" i="24"/>
  <c r="G28" i="24"/>
  <c r="J27" i="24"/>
  <c r="G25" i="24"/>
  <c r="J22" i="24"/>
  <c r="G20" i="24"/>
  <c r="J24" i="24"/>
  <c r="L44" i="22"/>
  <c r="L44" i="23"/>
  <c r="G40" i="23"/>
  <c r="G38" i="23"/>
  <c r="J38" i="23"/>
  <c r="G36" i="23"/>
  <c r="G34" i="23"/>
  <c r="J34" i="23"/>
  <c r="G32" i="23"/>
  <c r="G43" i="23" s="1"/>
  <c r="C13" i="23" s="1"/>
  <c r="C14" i="23" s="1"/>
  <c r="J31" i="23"/>
  <c r="J30" i="23"/>
  <c r="G28" i="23"/>
  <c r="J28" i="23"/>
  <c r="J26" i="23"/>
  <c r="J24" i="23"/>
  <c r="J25" i="23"/>
  <c r="J23" i="23"/>
  <c r="J20" i="23"/>
  <c r="J29" i="23"/>
  <c r="J36" i="23"/>
  <c r="J40" i="23"/>
  <c r="J41" i="22"/>
  <c r="J38" i="22"/>
  <c r="J36" i="22"/>
  <c r="J33" i="22"/>
  <c r="J31" i="22"/>
  <c r="J28" i="22"/>
  <c r="G29" i="22"/>
  <c r="J27" i="22"/>
  <c r="J26" i="22"/>
  <c r="G25" i="22"/>
  <c r="G43" i="22" s="1"/>
  <c r="C13" i="22" s="1"/>
  <c r="C14" i="22" s="1"/>
  <c r="J22" i="22"/>
  <c r="J23" i="22"/>
  <c r="G22" i="22"/>
  <c r="G20" i="22"/>
  <c r="J21" i="22"/>
  <c r="J32" i="22"/>
  <c r="J26" i="21"/>
  <c r="J41" i="21"/>
  <c r="J38" i="21"/>
  <c r="J35" i="21"/>
  <c r="J34" i="21"/>
  <c r="J32" i="21"/>
  <c r="J33" i="21"/>
  <c r="G27" i="21"/>
  <c r="J27" i="21"/>
  <c r="G26" i="21"/>
  <c r="J23" i="21"/>
  <c r="J24" i="21"/>
  <c r="J22" i="21"/>
  <c r="G43" i="21"/>
  <c r="C13" i="21" s="1"/>
  <c r="C14" i="21" s="1"/>
  <c r="J28" i="21"/>
  <c r="J25" i="21"/>
  <c r="J31" i="21"/>
  <c r="J41" i="20"/>
  <c r="G43" i="20"/>
  <c r="C13" i="20" s="1"/>
  <c r="C14" i="20" s="1"/>
  <c r="J41" i="19"/>
  <c r="J39" i="19"/>
  <c r="J37" i="19"/>
  <c r="J36" i="19"/>
  <c r="J34" i="19"/>
  <c r="J32" i="19"/>
  <c r="J29" i="19"/>
  <c r="J27" i="19"/>
  <c r="G25" i="19"/>
  <c r="J22" i="19"/>
  <c r="G20" i="19"/>
  <c r="J20" i="19"/>
  <c r="C13" i="19"/>
  <c r="C14" i="19" s="1"/>
  <c r="J24" i="19"/>
  <c r="J41" i="14"/>
  <c r="G39" i="14"/>
  <c r="J39" i="14"/>
  <c r="J36" i="14"/>
  <c r="G35" i="14"/>
  <c r="J34" i="14"/>
  <c r="J32" i="14"/>
  <c r="J31" i="14"/>
  <c r="J30" i="14"/>
  <c r="J29" i="14"/>
  <c r="G23" i="14"/>
  <c r="J21" i="14"/>
  <c r="G20" i="14"/>
  <c r="J23" i="14"/>
  <c r="J41" i="11"/>
  <c r="J39" i="11"/>
  <c r="G38" i="11"/>
  <c r="G34" i="11"/>
  <c r="G43" i="11" s="1"/>
  <c r="C13" i="11" s="1"/>
  <c r="C14" i="11" s="1"/>
  <c r="Q18" i="11" s="1"/>
  <c r="R22" i="11" s="1"/>
  <c r="J32" i="11"/>
  <c r="J33" i="11"/>
  <c r="G29" i="11"/>
  <c r="J26" i="11"/>
  <c r="G27" i="11"/>
  <c r="J27" i="11"/>
  <c r="G23" i="11"/>
  <c r="J21" i="11"/>
  <c r="J22" i="11"/>
  <c r="J28" i="11"/>
  <c r="J36" i="11"/>
  <c r="J40" i="11"/>
  <c r="J25" i="11"/>
  <c r="J31" i="11"/>
  <c r="G38" i="10"/>
  <c r="G37" i="10"/>
  <c r="G36" i="10"/>
  <c r="G34" i="10"/>
  <c r="G32" i="10"/>
  <c r="G29" i="10"/>
  <c r="G28" i="10"/>
  <c r="G24" i="10"/>
  <c r="G22" i="10"/>
  <c r="J40" i="10"/>
  <c r="G39" i="10"/>
  <c r="J36" i="10"/>
  <c r="J32" i="10"/>
  <c r="G30" i="10"/>
  <c r="G43" i="10" s="1"/>
  <c r="C13" i="10" s="1"/>
  <c r="J29" i="10"/>
  <c r="J24" i="10"/>
  <c r="J20" i="10"/>
  <c r="G20" i="10"/>
  <c r="J27" i="10"/>
  <c r="J31" i="10"/>
  <c r="J22" i="10"/>
  <c r="J33" i="10"/>
  <c r="J37" i="10"/>
  <c r="J41" i="10"/>
  <c r="J38" i="4"/>
  <c r="J29" i="4"/>
  <c r="J40" i="4"/>
  <c r="J32" i="4"/>
  <c r="J41" i="3"/>
  <c r="J33" i="3"/>
  <c r="J25" i="3"/>
  <c r="J42" i="3"/>
  <c r="J34" i="3"/>
  <c r="J26" i="3"/>
  <c r="G42" i="3"/>
  <c r="G34" i="3"/>
  <c r="G26" i="3"/>
  <c r="C13" i="36" l="1"/>
  <c r="C14" i="36" s="1"/>
  <c r="C15" i="36" s="1"/>
  <c r="G46" i="36"/>
  <c r="Q18" i="51"/>
  <c r="Q28" i="51" s="1"/>
  <c r="Q28" i="50"/>
  <c r="R22" i="50"/>
  <c r="R22" i="49"/>
  <c r="Q30" i="49"/>
  <c r="R30" i="49"/>
  <c r="R22" i="48"/>
  <c r="Q28" i="48"/>
  <c r="Q28" i="47"/>
  <c r="R22" i="47"/>
  <c r="Q28" i="46"/>
  <c r="R22" i="46"/>
  <c r="Q18" i="45"/>
  <c r="R22" i="45" s="1"/>
  <c r="Q28" i="44"/>
  <c r="R22" i="44"/>
  <c r="Q18" i="43"/>
  <c r="R22" i="43" s="1"/>
  <c r="Q28" i="42"/>
  <c r="R22" i="42"/>
  <c r="Q28" i="41"/>
  <c r="R22" i="41"/>
  <c r="Q28" i="40"/>
  <c r="R22" i="40"/>
  <c r="R22" i="39"/>
  <c r="Q28" i="39"/>
  <c r="Q28" i="38"/>
  <c r="R22" i="38"/>
  <c r="Q28" i="37"/>
  <c r="R22" i="37"/>
  <c r="Q18" i="36"/>
  <c r="R22" i="36" s="1"/>
  <c r="Q28" i="35"/>
  <c r="R22" i="35"/>
  <c r="R22" i="34"/>
  <c r="Q28" i="34"/>
  <c r="Q28" i="33"/>
  <c r="R22" i="33"/>
  <c r="R22" i="29"/>
  <c r="Q28" i="29"/>
  <c r="G43" i="14"/>
  <c r="C13" i="14" s="1"/>
  <c r="C14" i="14" s="1"/>
  <c r="Q18" i="14" s="1"/>
  <c r="Q28" i="26"/>
  <c r="L43" i="24"/>
  <c r="L45" i="24" s="1"/>
  <c r="G43" i="24"/>
  <c r="C13" i="24" s="1"/>
  <c r="C14" i="24" s="1"/>
  <c r="C15" i="24" s="1"/>
  <c r="L43" i="23"/>
  <c r="L45" i="23" s="1"/>
  <c r="Q18" i="23"/>
  <c r="C15" i="23"/>
  <c r="L43" i="22"/>
  <c r="L45" i="22" s="1"/>
  <c r="Q18" i="22"/>
  <c r="C15" i="22"/>
  <c r="L43" i="21"/>
  <c r="L45" i="21" s="1"/>
  <c r="Q18" i="21"/>
  <c r="C15" i="21"/>
  <c r="L43" i="20"/>
  <c r="L45" i="20" s="1"/>
  <c r="C15" i="20"/>
  <c r="Q18" i="20"/>
  <c r="L43" i="19"/>
  <c r="L45" i="19" s="1"/>
  <c r="Q18" i="19"/>
  <c r="C15" i="19"/>
  <c r="L43" i="14"/>
  <c r="L45" i="14" s="1"/>
  <c r="L43" i="11"/>
  <c r="L45" i="11" s="1"/>
  <c r="Q28" i="11"/>
  <c r="C15" i="11"/>
  <c r="E16" i="6"/>
  <c r="C11" i="6"/>
  <c r="R22" i="51" l="1"/>
  <c r="R30" i="51"/>
  <c r="Q30" i="50"/>
  <c r="R30" i="50"/>
  <c r="R31" i="50" s="1"/>
  <c r="R31" i="49"/>
  <c r="Q30" i="48"/>
  <c r="R30" i="48"/>
  <c r="R31" i="48" s="1"/>
  <c r="R30" i="47"/>
  <c r="R31" i="47" s="1"/>
  <c r="Q30" i="47"/>
  <c r="Q30" i="46"/>
  <c r="R30" i="46"/>
  <c r="R31" i="46" s="1"/>
  <c r="Q28" i="45"/>
  <c r="Q30" i="45" s="1"/>
  <c r="Q30" i="44"/>
  <c r="R30" i="44"/>
  <c r="R31" i="44"/>
  <c r="Q28" i="43"/>
  <c r="Q30" i="43" s="1"/>
  <c r="Q30" i="42"/>
  <c r="R30" i="42"/>
  <c r="R31" i="42" s="1"/>
  <c r="Q30" i="41"/>
  <c r="R30" i="41"/>
  <c r="R31" i="41" s="1"/>
  <c r="Q30" i="40"/>
  <c r="R30" i="40"/>
  <c r="R31" i="40" s="1"/>
  <c r="Q30" i="39"/>
  <c r="R30" i="39"/>
  <c r="R31" i="39" s="1"/>
  <c r="Q30" i="38"/>
  <c r="R30" i="38"/>
  <c r="R31" i="38" s="1"/>
  <c r="Q30" i="37"/>
  <c r="R30" i="37"/>
  <c r="R31" i="37" s="1"/>
  <c r="Q28" i="36"/>
  <c r="R30" i="36" s="1"/>
  <c r="R31" i="36" s="1"/>
  <c r="Q30" i="35"/>
  <c r="R30" i="35"/>
  <c r="R31" i="35" s="1"/>
  <c r="Q30" i="34"/>
  <c r="R30" i="34"/>
  <c r="R31" i="34"/>
  <c r="Q30" i="33"/>
  <c r="R30" i="33"/>
  <c r="R31" i="33" s="1"/>
  <c r="Q30" i="29"/>
  <c r="R30" i="29"/>
  <c r="R31" i="29"/>
  <c r="C15" i="14"/>
  <c r="Q30" i="26"/>
  <c r="R31" i="26"/>
  <c r="Q18" i="24"/>
  <c r="R22" i="24" s="1"/>
  <c r="R22" i="23"/>
  <c r="Q28" i="23"/>
  <c r="R22" i="22"/>
  <c r="Q28" i="22"/>
  <c r="Q28" i="21"/>
  <c r="R22" i="21"/>
  <c r="R22" i="20"/>
  <c r="Q28" i="20"/>
  <c r="Q28" i="19"/>
  <c r="R22" i="19"/>
  <c r="Q28" i="14"/>
  <c r="R22" i="14"/>
  <c r="Q30" i="11"/>
  <c r="R30" i="11"/>
  <c r="R31" i="11" s="1"/>
  <c r="C14" i="10"/>
  <c r="Q18" i="10" s="1"/>
  <c r="Q25" i="4"/>
  <c r="Q26" i="4" s="1"/>
  <c r="R23" i="4"/>
  <c r="R31" i="4" s="1"/>
  <c r="L44" i="4"/>
  <c r="L20" i="4"/>
  <c r="E20" i="4"/>
  <c r="Q5" i="4"/>
  <c r="L20" i="3"/>
  <c r="Q5" i="3"/>
  <c r="R31" i="51" l="1"/>
  <c r="R30" i="45"/>
  <c r="R31" i="45" s="1"/>
  <c r="R30" i="43"/>
  <c r="R31" i="43" s="1"/>
  <c r="Q30" i="36"/>
  <c r="Q28" i="24"/>
  <c r="Q30" i="24" s="1"/>
  <c r="Q30" i="23"/>
  <c r="R30" i="23"/>
  <c r="R31" i="23"/>
  <c r="Q30" i="22"/>
  <c r="R30" i="22"/>
  <c r="R31" i="22" s="1"/>
  <c r="Q30" i="21"/>
  <c r="R30" i="21"/>
  <c r="R31" i="21" s="1"/>
  <c r="Q30" i="20"/>
  <c r="R30" i="20"/>
  <c r="R31" i="20" s="1"/>
  <c r="Q30" i="19"/>
  <c r="R30" i="19"/>
  <c r="R31" i="19" s="1"/>
  <c r="Q30" i="14"/>
  <c r="R30" i="14"/>
  <c r="R31" i="14" s="1"/>
  <c r="Q28" i="10"/>
  <c r="Q30" i="10" s="1"/>
  <c r="C15" i="10"/>
  <c r="J20" i="3"/>
  <c r="J20" i="4"/>
  <c r="L43" i="4"/>
  <c r="L45" i="4" s="1"/>
  <c r="R30" i="24" l="1"/>
  <c r="R31" i="24" s="1"/>
  <c r="Q18" i="4"/>
  <c r="C13" i="3"/>
  <c r="L45" i="3"/>
  <c r="Q28" i="4" l="1"/>
  <c r="Q30" i="4" s="1"/>
  <c r="Q30" i="3"/>
  <c r="C15" i="3"/>
</calcChain>
</file>

<file path=xl/sharedStrings.xml><?xml version="1.0" encoding="utf-8"?>
<sst xmlns="http://schemas.openxmlformats.org/spreadsheetml/2006/main" count="2735" uniqueCount="223">
  <si>
    <t>Acción 1</t>
  </si>
  <si>
    <t>Cálculo de precio objetivo</t>
  </si>
  <si>
    <t xml:space="preserve">Acción </t>
  </si>
  <si>
    <t>Acción</t>
  </si>
  <si>
    <t>Bolsa:</t>
  </si>
  <si>
    <t>NYSE</t>
  </si>
  <si>
    <t>Bolsa de Valores</t>
  </si>
  <si>
    <t>Fecha de Análisis:</t>
  </si>
  <si>
    <t>TLR</t>
  </si>
  <si>
    <t>T/B 4w</t>
  </si>
  <si>
    <t>Periodo valoración:</t>
  </si>
  <si>
    <t>Rendimiento Mdo.</t>
  </si>
  <si>
    <t xml:space="preserve">Dow Jones </t>
  </si>
  <si>
    <t>Precios:</t>
  </si>
  <si>
    <t>mensuales</t>
  </si>
  <si>
    <t>Criterio óptimo</t>
  </si>
  <si>
    <t>Ruta Investing</t>
  </si>
  <si>
    <t>Indicador</t>
  </si>
  <si>
    <t>Resultado</t>
  </si>
  <si>
    <t>Calificación (0, 1)</t>
  </si>
  <si>
    <t>Spot</t>
  </si>
  <si>
    <t>menor que el sector</t>
  </si>
  <si>
    <t>Financials/ratios</t>
  </si>
  <si>
    <t>PER</t>
  </si>
  <si>
    <t>TLR (T/B 28)</t>
  </si>
  <si>
    <t>PER Sector</t>
  </si>
  <si>
    <t>Beta</t>
  </si>
  <si>
    <t>mayor que el sector</t>
  </si>
  <si>
    <t>Financials/ Earnings</t>
  </si>
  <si>
    <t xml:space="preserve">EPS </t>
  </si>
  <si>
    <t>PRH</t>
  </si>
  <si>
    <t>EPS / Forecast</t>
  </si>
  <si>
    <t>Rend CAPM</t>
  </si>
  <si>
    <t>Compra, compra fuerte</t>
  </si>
  <si>
    <t>Technical</t>
  </si>
  <si>
    <t>MACD 1 mes</t>
  </si>
  <si>
    <t>PRECIO OBJETIVO</t>
  </si>
  <si>
    <t>PRICE TO FCF</t>
  </si>
  <si>
    <t>PRICE TO FCF Sector</t>
  </si>
  <si>
    <t>Precio Acción</t>
  </si>
  <si>
    <t>R TLR</t>
  </si>
  <si>
    <t>Ren Acc</t>
  </si>
  <si>
    <t>Ren TLR</t>
  </si>
  <si>
    <t>PRH /mes</t>
  </si>
  <si>
    <t>BETA</t>
  </si>
  <si>
    <t>Rend Acc</t>
  </si>
  <si>
    <t>Rend Mdo</t>
  </si>
  <si>
    <t>CAPM</t>
  </si>
  <si>
    <t>(tabla)</t>
  </si>
  <si>
    <t>De mercado Investing</t>
  </si>
  <si>
    <t>Rend CAPM &gt; rend. TLR</t>
  </si>
  <si>
    <t>Menor a 1.10</t>
  </si>
  <si>
    <t>General</t>
  </si>
  <si>
    <t>Rentab PER</t>
  </si>
  <si>
    <t>Rend PER &gt; rend. TLR</t>
  </si>
  <si>
    <t>1/PER</t>
  </si>
  <si>
    <t>RDR</t>
  </si>
  <si>
    <t xml:space="preserve">Rendimiento   </t>
  </si>
  <si>
    <t>Riesgo</t>
  </si>
  <si>
    <t>PRH=</t>
  </si>
  <si>
    <t>Varianza</t>
  </si>
  <si>
    <t>Acción 2</t>
  </si>
  <si>
    <t>NASDAQ</t>
  </si>
  <si>
    <t xml:space="preserve">Buy </t>
  </si>
  <si>
    <t>Precio NASDAQ</t>
  </si>
  <si>
    <t xml:space="preserve">Covarianza </t>
  </si>
  <si>
    <t>Acción 3</t>
  </si>
  <si>
    <t>mayor  que el sector</t>
  </si>
  <si>
    <t>Boeing</t>
  </si>
  <si>
    <t>AMD</t>
  </si>
  <si>
    <t>Sell</t>
  </si>
  <si>
    <t>No se invierte en esta acción</t>
  </si>
  <si>
    <t xml:space="preserve">La beta es muy alta y cumple 3/8 indicadores </t>
  </si>
  <si>
    <t>Precios AMD</t>
  </si>
  <si>
    <t>Precios BOEING</t>
  </si>
  <si>
    <t>PRIMER ENTREGABLE</t>
  </si>
  <si>
    <t>Información para armar el portafolio</t>
  </si>
  <si>
    <t>Acciones analizadas</t>
  </si>
  <si>
    <t xml:space="preserve">Tienes que elegir </t>
  </si>
  <si>
    <t>acciones</t>
  </si>
  <si>
    <t>Métodos de valoración</t>
  </si>
  <si>
    <t>Tabla de 8 indicadores</t>
  </si>
  <si>
    <t>Fecha de evaluación:</t>
  </si>
  <si>
    <t>1 julio 2022-                                 30 junio 2024</t>
  </si>
  <si>
    <t>Fecha in (fecha de análisis)</t>
  </si>
  <si>
    <t>Fecha out</t>
  </si>
  <si>
    <t>Asigación</t>
  </si>
  <si>
    <t>Acciones</t>
  </si>
  <si>
    <t>días de inversión</t>
  </si>
  <si>
    <t>dias</t>
  </si>
  <si>
    <t xml:space="preserve">Capital invertido    </t>
  </si>
  <si>
    <t>% Capital invertido en RV</t>
  </si>
  <si>
    <t>% Capital en Renta fija</t>
  </si>
  <si>
    <t>Asigación por modelo</t>
  </si>
  <si>
    <t>VaR paramétrico</t>
  </si>
  <si>
    <t>Apalancamiento</t>
  </si>
  <si>
    <t>Datos de los bonos:</t>
  </si>
  <si>
    <t>Per. del cupon</t>
  </si>
  <si>
    <t>mensual</t>
  </si>
  <si>
    <t>Mercado donde se compran</t>
  </si>
  <si>
    <t>Mercado primario</t>
  </si>
  <si>
    <t>Mercado Secundario</t>
  </si>
  <si>
    <t>Años</t>
  </si>
  <si>
    <t>Principal del Bono</t>
  </si>
  <si>
    <t>Precio de compra</t>
  </si>
  <si>
    <t>Precio de emisión</t>
  </si>
  <si>
    <t>Precio de mercado</t>
  </si>
  <si>
    <t>Tasa Cupón</t>
  </si>
  <si>
    <t>investing</t>
  </si>
  <si>
    <t>Tasa de descuento</t>
  </si>
  <si>
    <t>tasa de inflación</t>
  </si>
  <si>
    <t>utiliza IA de google para este dato</t>
  </si>
  <si>
    <t>Nota:</t>
  </si>
  <si>
    <t>Agrega una pestaña en tu archivo Excel y para que copies y pegues</t>
  </si>
  <si>
    <t>la pantalla de donde tomaste el o los datos</t>
  </si>
  <si>
    <t>1 julio 2022- 31 junio 2024</t>
  </si>
  <si>
    <t>PepsiCo</t>
  </si>
  <si>
    <t xml:space="preserve">Rend  &gt; Riesgo </t>
  </si>
  <si>
    <t>Buy</t>
  </si>
  <si>
    <t>PALANTIR</t>
  </si>
  <si>
    <t>PLTR</t>
  </si>
  <si>
    <t>1 julio 2022- 31 Mayo 2025</t>
  </si>
  <si>
    <t>NVDA</t>
  </si>
  <si>
    <t>NVIDIA</t>
  </si>
  <si>
    <t>AAPL</t>
  </si>
  <si>
    <t>APPLE INC</t>
  </si>
  <si>
    <t>Robin Energy Ltd</t>
  </si>
  <si>
    <t>RBNE</t>
  </si>
  <si>
    <t>-</t>
  </si>
  <si>
    <t>AppLovin</t>
  </si>
  <si>
    <t>APP</t>
  </si>
  <si>
    <t>WolfSpeed</t>
  </si>
  <si>
    <t>WOLF</t>
  </si>
  <si>
    <t>OppFi Inc</t>
  </si>
  <si>
    <t>OPFI</t>
  </si>
  <si>
    <t>Agilon Health Inc</t>
  </si>
  <si>
    <t>AGL</t>
  </si>
  <si>
    <t>BA</t>
  </si>
  <si>
    <t>PEP</t>
  </si>
  <si>
    <t>STOCK</t>
  </si>
  <si>
    <t>Nombre</t>
  </si>
  <si>
    <t>Pepsi Co</t>
  </si>
  <si>
    <t>Palantir</t>
  </si>
  <si>
    <t>Nvidia</t>
  </si>
  <si>
    <t>Agilon H.</t>
  </si>
  <si>
    <t>Opfi</t>
  </si>
  <si>
    <t>Apple</t>
  </si>
  <si>
    <t>Robin Energy</t>
  </si>
  <si>
    <t>hacer click en en una de las flechas</t>
  </si>
  <si>
    <t>en los titulos de la tabla.</t>
  </si>
  <si>
    <t>Una vez hecho click, escribir en la</t>
  </si>
  <si>
    <t xml:space="preserve">casilla de "Search" o "Buscar" el </t>
  </si>
  <si>
    <t>nombre de la Accion deseada.</t>
  </si>
  <si>
    <t xml:space="preserve">Una vez introducido el nombre, oprimir </t>
  </si>
  <si>
    <t>"Enter".</t>
  </si>
  <si>
    <t>Para Buscar una accion especifica</t>
  </si>
  <si>
    <t>Para generar una nueva Hoja Base, hacer click en este boton.</t>
  </si>
  <si>
    <t>Cambiar todos los datos necesarios en la hoja ejemplo.</t>
  </si>
  <si>
    <t>Para agregar una nueva accion al indice, registrar nombre y STOCK</t>
  </si>
  <si>
    <t xml:space="preserve">para generar el link que guie hacia la hoja de calculo necesaria, </t>
  </si>
  <si>
    <t xml:space="preserve">seleccionar la casilla donde se encuentre el STOCK y hacer click </t>
  </si>
  <si>
    <t>derecho.</t>
  </si>
  <si>
    <t>Hacer CLICK en LINK.</t>
  </si>
  <si>
    <t>Se abrira una nueva ventana, hacer CLICK en "Place in This Document".</t>
  </si>
  <si>
    <t xml:space="preserve">Una vez en esa ventana, buscar la Accion en el apartado de Cell Reference, </t>
  </si>
  <si>
    <t xml:space="preserve">seleccionarlo y hacer CLICK en "OK". </t>
  </si>
  <si>
    <t xml:space="preserve">Una vez en este estado, click en la </t>
  </si>
  <si>
    <t xml:space="preserve"> hacer click en "Clear Filter".</t>
  </si>
  <si>
    <t>Flecha seleccionada anteriormente y</t>
  </si>
  <si>
    <t>Google Class C</t>
  </si>
  <si>
    <t>GOOG</t>
  </si>
  <si>
    <t>MicroStrategy</t>
  </si>
  <si>
    <t>MicroStrategy Incorporated</t>
  </si>
  <si>
    <t>MSTR</t>
  </si>
  <si>
    <t>SoFi Technologies Inc.</t>
  </si>
  <si>
    <t>SOFI</t>
  </si>
  <si>
    <t>Hims Hers Health Inc</t>
  </si>
  <si>
    <t>HIMS</t>
  </si>
  <si>
    <t>Hims Hers H.</t>
  </si>
  <si>
    <t>CrowdStrike Holdings Inc.</t>
  </si>
  <si>
    <t>CRWD</t>
  </si>
  <si>
    <t xml:space="preserve">CrowdStrike </t>
  </si>
  <si>
    <t>ESTABLE</t>
  </si>
  <si>
    <t>RH</t>
  </si>
  <si>
    <t>Salesforce Inc</t>
  </si>
  <si>
    <t>CRM</t>
  </si>
  <si>
    <t>Salesforce</t>
  </si>
  <si>
    <t>Walmart</t>
  </si>
  <si>
    <t>WMT</t>
  </si>
  <si>
    <t>Quantum Comp.</t>
  </si>
  <si>
    <t>QUBT</t>
  </si>
  <si>
    <t>Quantum Computing Inc</t>
  </si>
  <si>
    <t>CHECAR A FONDO</t>
  </si>
  <si>
    <t>SOUN</t>
  </si>
  <si>
    <t>SoundHound AI Inc</t>
  </si>
  <si>
    <t>Super Micro Computer Inc</t>
  </si>
  <si>
    <t>SMCI</t>
  </si>
  <si>
    <t>Symbotic Inc</t>
  </si>
  <si>
    <t>SYM</t>
  </si>
  <si>
    <t>Marathon Digital Holdings Inc</t>
  </si>
  <si>
    <t>MARA</t>
  </si>
  <si>
    <t>Micron Techonolgy Inc</t>
  </si>
  <si>
    <t>MU</t>
  </si>
  <si>
    <t>Micron Technology Inc</t>
  </si>
  <si>
    <t>SoFi Technology</t>
  </si>
  <si>
    <t>Lennar Corporation</t>
  </si>
  <si>
    <t>LEN</t>
  </si>
  <si>
    <t>John Wiley &amp; Sons</t>
  </si>
  <si>
    <t>WLY</t>
  </si>
  <si>
    <t>Jabil Circuit Inc</t>
  </si>
  <si>
    <t>JBL</t>
  </si>
  <si>
    <t>GMS Inc</t>
  </si>
  <si>
    <t>GMS</t>
  </si>
  <si>
    <t>Alibaba Group Holdings Ltd ADR</t>
  </si>
  <si>
    <t>BABA</t>
  </si>
  <si>
    <t>Alibaba Group Holdings Ltd.</t>
  </si>
  <si>
    <t xml:space="preserve">Oracle Corporation </t>
  </si>
  <si>
    <t>ORCL</t>
  </si>
  <si>
    <t xml:space="preserve">NYSE </t>
  </si>
  <si>
    <t>1 julio 2023- 31 mayo 2025</t>
  </si>
  <si>
    <t xml:space="preserve">Microsoft Corporation </t>
  </si>
  <si>
    <t xml:space="preserve">MSFT </t>
  </si>
  <si>
    <t>MSFT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</si>
</sst>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0.000"/>
    <numFmt numFmtId="165" formatCode="0.0000%"/>
    <numFmt numFmtId="166" formatCode="0.0000000"/>
    <numFmt numFmtId="167" formatCode="0.00000"/>
    <numFmt numFmtId="168" formatCode="General\ &quot;Años&quot;"/>
    <numFmt numFmtId="169" formatCode="&quot;$&quot;#,##0.00"/>
    <numFmt numFmtId="170" formatCode="0.0%"/>
  </numFmts>
  <fonts count="25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2" tint="-0.499984740745262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2"/>
      <color theme="0"/>
      <name val="Aptos Narrow"/>
      <family val="2"/>
      <scheme val="minor"/>
    </font>
    <font>
      <i/>
      <sz val="9"/>
      <color rgb="FF00B0F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6" tint="0.39997558519241921"/>
      <name val="Aptos Narrow"/>
      <family val="2"/>
      <scheme val="minor"/>
    </font>
    <font>
      <sz val="12"/>
      <color rgb="FFFF0000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u/>
      <sz val="12"/>
      <color theme="0"/>
      <name val="Aptos Narrow"/>
      <family val="2"/>
      <scheme val="minor"/>
    </font>
    <font>
      <b/>
      <u/>
      <sz val="12"/>
      <color theme="10"/>
      <name val="Aptos Narrow"/>
      <family val="2"/>
      <scheme val="minor"/>
    </font>
    <font>
      <b/>
      <sz val="20"/>
      <color rgb="FF000000"/>
      <name val="Aptos Narrow"/>
    </font>
    <font>
      <b/>
      <sz val="11"/>
      <color theme="6" tint="0.3999755851924192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172">
    <xf numFmtId="0" fontId="0" fillId="0" borderId="0" xfId="0"/>
    <xf numFmtId="0" fontId="0" fillId="3" borderId="0" xfId="0" applyFill="1"/>
    <xf numFmtId="0" fontId="0" fillId="4" borderId="1" xfId="0" applyFill="1" applyBorder="1"/>
    <xf numFmtId="0" fontId="0" fillId="3" borderId="1" xfId="0" applyFill="1" applyBorder="1" applyAlignment="1">
      <alignment horizontal="center"/>
    </xf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2" fillId="2" borderId="0" xfId="0" applyFont="1" applyFill="1" applyAlignment="1">
      <alignment horizontal="left"/>
    </xf>
    <xf numFmtId="0" fontId="0" fillId="3" borderId="0" xfId="0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6" borderId="0" xfId="0" applyFont="1" applyFill="1"/>
    <xf numFmtId="0" fontId="4" fillId="3" borderId="9" xfId="0" applyFont="1" applyFill="1" applyBorder="1"/>
    <xf numFmtId="0" fontId="0" fillId="3" borderId="3" xfId="0" applyFill="1" applyBorder="1"/>
    <xf numFmtId="16" fontId="4" fillId="3" borderId="0" xfId="0" applyNumberFormat="1" applyFont="1" applyFill="1" applyAlignment="1">
      <alignment horizontal="left"/>
    </xf>
    <xf numFmtId="0" fontId="0" fillId="7" borderId="0" xfId="0" applyFill="1"/>
    <xf numFmtId="0" fontId="0" fillId="3" borderId="10" xfId="0" applyFill="1" applyBorder="1"/>
    <xf numFmtId="0" fontId="5" fillId="4" borderId="5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vertical="center"/>
    </xf>
    <xf numFmtId="0" fontId="0" fillId="4" borderId="12" xfId="0" applyFill="1" applyBorder="1" applyAlignment="1">
      <alignment vertical="center"/>
    </xf>
    <xf numFmtId="0" fontId="0" fillId="4" borderId="13" xfId="0" applyFill="1" applyBorder="1" applyAlignment="1">
      <alignment horizontal="center" vertical="center" wrapText="1"/>
    </xf>
    <xf numFmtId="164" fontId="3" fillId="8" borderId="0" xfId="0" applyNumberFormat="1" applyFont="1" applyFill="1" applyAlignment="1">
      <alignment horizontal="left"/>
    </xf>
    <xf numFmtId="0" fontId="5" fillId="3" borderId="14" xfId="0" applyFont="1" applyFill="1" applyBorder="1"/>
    <xf numFmtId="0" fontId="5" fillId="3" borderId="15" xfId="0" applyFont="1" applyFill="1" applyBorder="1"/>
    <xf numFmtId="0" fontId="4" fillId="3" borderId="14" xfId="0" applyFont="1" applyFill="1" applyBorder="1"/>
    <xf numFmtId="2" fontId="6" fillId="3" borderId="16" xfId="0" applyNumberFormat="1" applyFont="1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10" fontId="0" fillId="3" borderId="0" xfId="0" applyNumberFormat="1" applyFill="1" applyAlignment="1">
      <alignment horizontal="left"/>
    </xf>
    <xf numFmtId="16" fontId="0" fillId="3" borderId="0" xfId="0" applyNumberFormat="1" applyFill="1" applyAlignment="1">
      <alignment horizontal="left"/>
    </xf>
    <xf numFmtId="0" fontId="5" fillId="3" borderId="17" xfId="0" applyFont="1" applyFill="1" applyBorder="1"/>
    <xf numFmtId="0" fontId="5" fillId="3" borderId="18" xfId="0" applyFont="1" applyFill="1" applyBorder="1"/>
    <xf numFmtId="0" fontId="0" fillId="3" borderId="19" xfId="0" applyFill="1" applyBorder="1"/>
    <xf numFmtId="0" fontId="0" fillId="3" borderId="20" xfId="0" applyFill="1" applyBorder="1" applyAlignment="1">
      <alignment horizontal="center"/>
    </xf>
    <xf numFmtId="164" fontId="0" fillId="3" borderId="0" xfId="0" applyNumberFormat="1" applyFill="1" applyAlignment="1">
      <alignment horizontal="left"/>
    </xf>
    <xf numFmtId="0" fontId="0" fillId="3" borderId="17" xfId="0" applyFill="1" applyBorder="1"/>
    <xf numFmtId="0" fontId="0" fillId="3" borderId="12" xfId="0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10" fontId="4" fillId="3" borderId="0" xfId="0" applyNumberFormat="1" applyFont="1" applyFill="1" applyAlignment="1">
      <alignment horizontal="left"/>
    </xf>
    <xf numFmtId="0" fontId="4" fillId="3" borderId="19" xfId="0" applyFont="1" applyFill="1" applyBorder="1"/>
    <xf numFmtId="0" fontId="8" fillId="3" borderId="0" xfId="0" applyFont="1" applyFill="1" applyAlignment="1">
      <alignment horizontal="center"/>
    </xf>
    <xf numFmtId="2" fontId="9" fillId="8" borderId="0" xfId="0" applyNumberFormat="1" applyFont="1" applyFill="1" applyAlignment="1">
      <alignment horizontal="left"/>
    </xf>
    <xf numFmtId="0" fontId="7" fillId="3" borderId="12" xfId="0" applyFont="1" applyFill="1" applyBorder="1" applyAlignment="1">
      <alignment horizontal="center"/>
    </xf>
    <xf numFmtId="0" fontId="6" fillId="3" borderId="16" xfId="0" applyFont="1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3" fillId="5" borderId="0" xfId="0" applyFont="1" applyFill="1"/>
    <xf numFmtId="0" fontId="0" fillId="0" borderId="12" xfId="0" applyBorder="1" applyAlignment="1">
      <alignment horizontal="center"/>
    </xf>
    <xf numFmtId="10" fontId="7" fillId="3" borderId="16" xfId="1" applyNumberFormat="1" applyFont="1" applyFill="1" applyBorder="1" applyAlignment="1">
      <alignment horizontal="center"/>
    </xf>
    <xf numFmtId="17" fontId="0" fillId="3" borderId="0" xfId="0" applyNumberFormat="1" applyFill="1"/>
    <xf numFmtId="10" fontId="0" fillId="3" borderId="0" xfId="1" applyNumberFormat="1" applyFont="1" applyFill="1"/>
    <xf numFmtId="4" fontId="0" fillId="0" borderId="0" xfId="0" applyNumberFormat="1"/>
    <xf numFmtId="0" fontId="5" fillId="3" borderId="19" xfId="0" applyFont="1" applyFill="1" applyBorder="1"/>
    <xf numFmtId="0" fontId="5" fillId="3" borderId="20" xfId="0" applyFont="1" applyFill="1" applyBorder="1"/>
    <xf numFmtId="10" fontId="0" fillId="3" borderId="0" xfId="0" applyNumberFormat="1" applyFill="1" applyAlignment="1">
      <alignment horizontal="center"/>
    </xf>
    <xf numFmtId="10" fontId="0" fillId="3" borderId="0" xfId="1" applyNumberFormat="1" applyFont="1" applyFill="1" applyAlignment="1">
      <alignment horizontal="center"/>
    </xf>
    <xf numFmtId="165" fontId="0" fillId="3" borderId="0" xfId="1" applyNumberFormat="1" applyFont="1" applyFill="1" applyAlignment="1">
      <alignment horizontal="center"/>
    </xf>
    <xf numFmtId="0" fontId="0" fillId="3" borderId="0" xfId="0" applyFill="1" applyAlignment="1">
      <alignment wrapText="1"/>
    </xf>
    <xf numFmtId="10" fontId="0" fillId="3" borderId="0" xfId="0" applyNumberFormat="1" applyFill="1"/>
    <xf numFmtId="10" fontId="6" fillId="3" borderId="12" xfId="0" applyNumberFormat="1" applyFont="1" applyFill="1" applyBorder="1"/>
    <xf numFmtId="0" fontId="5" fillId="3" borderId="5" xfId="0" applyFont="1" applyFill="1" applyBorder="1"/>
    <xf numFmtId="0" fontId="5" fillId="3" borderId="13" xfId="0" applyFont="1" applyFill="1" applyBorder="1"/>
    <xf numFmtId="0" fontId="4" fillId="3" borderId="5" xfId="0" applyFont="1" applyFill="1" applyBorder="1"/>
    <xf numFmtId="164" fontId="7" fillId="3" borderId="11" xfId="0" applyNumberFormat="1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0" fontId="0" fillId="3" borderId="14" xfId="0" applyFill="1" applyBorder="1"/>
    <xf numFmtId="0" fontId="0" fillId="3" borderId="16" xfId="0" applyFill="1" applyBorder="1"/>
    <xf numFmtId="0" fontId="0" fillId="3" borderId="20" xfId="0" applyFill="1" applyBorder="1"/>
    <xf numFmtId="2" fontId="0" fillId="3" borderId="0" xfId="0" applyNumberFormat="1" applyFill="1" applyAlignment="1">
      <alignment horizontal="center"/>
    </xf>
    <xf numFmtId="10" fontId="6" fillId="3" borderId="0" xfId="1" applyNumberFormat="1" applyFont="1" applyFill="1" applyBorder="1" applyAlignment="1">
      <alignment horizontal="center"/>
    </xf>
    <xf numFmtId="10" fontId="0" fillId="3" borderId="0" xfId="1" applyNumberFormat="1" applyFont="1" applyFill="1" applyBorder="1" applyAlignment="1">
      <alignment horizontal="center"/>
    </xf>
    <xf numFmtId="10" fontId="7" fillId="3" borderId="12" xfId="0" applyNumberFormat="1" applyFont="1" applyFill="1" applyBorder="1" applyAlignment="1">
      <alignment horizontal="center"/>
    </xf>
    <xf numFmtId="10" fontId="7" fillId="3" borderId="0" xfId="0" applyNumberFormat="1" applyFont="1" applyFill="1" applyAlignment="1">
      <alignment horizontal="center"/>
    </xf>
    <xf numFmtId="0" fontId="7" fillId="3" borderId="21" xfId="0" applyFont="1" applyFill="1" applyBorder="1" applyAlignment="1">
      <alignment horizontal="center"/>
    </xf>
    <xf numFmtId="0" fontId="0" fillId="9" borderId="6" xfId="0" applyFill="1" applyBorder="1"/>
    <xf numFmtId="0" fontId="0" fillId="9" borderId="22" xfId="0" applyFill="1" applyBorder="1"/>
    <xf numFmtId="0" fontId="0" fillId="9" borderId="9" xfId="0" applyFill="1" applyBorder="1" applyAlignment="1">
      <alignment horizontal="center"/>
    </xf>
    <xf numFmtId="0" fontId="0" fillId="9" borderId="7" xfId="0" applyFill="1" applyBorder="1"/>
    <xf numFmtId="0" fontId="0" fillId="9" borderId="0" xfId="0" applyFill="1"/>
    <xf numFmtId="0" fontId="0" fillId="9" borderId="3" xfId="0" applyFill="1" applyBorder="1" applyAlignment="1">
      <alignment horizontal="center"/>
    </xf>
    <xf numFmtId="0" fontId="0" fillId="9" borderId="8" xfId="0" applyFill="1" applyBorder="1"/>
    <xf numFmtId="0" fontId="0" fillId="9" borderId="23" xfId="0" applyFill="1" applyBorder="1"/>
    <xf numFmtId="0" fontId="0" fillId="9" borderId="10" xfId="0" applyFill="1" applyBorder="1" applyAlignment="1">
      <alignment horizontal="center"/>
    </xf>
    <xf numFmtId="0" fontId="10" fillId="8" borderId="2" xfId="0" applyFont="1" applyFill="1" applyBorder="1" applyAlignment="1">
      <alignment horizontal="right"/>
    </xf>
    <xf numFmtId="10" fontId="3" fillId="8" borderId="4" xfId="0" applyNumberFormat="1" applyFont="1" applyFill="1" applyBorder="1" applyAlignment="1">
      <alignment horizontal="center"/>
    </xf>
    <xf numFmtId="166" fontId="11" fillId="3" borderId="0" xfId="0" applyNumberFormat="1" applyFont="1" applyFill="1" applyAlignment="1">
      <alignment horizontal="center"/>
    </xf>
    <xf numFmtId="167" fontId="3" fillId="8" borderId="24" xfId="0" applyNumberFormat="1" applyFont="1" applyFill="1" applyBorder="1" applyAlignment="1">
      <alignment horizontal="left" indent="3"/>
    </xf>
    <xf numFmtId="2" fontId="0" fillId="3" borderId="16" xfId="0" applyNumberFormat="1" applyFill="1" applyBorder="1"/>
    <xf numFmtId="0" fontId="6" fillId="3" borderId="0" xfId="0" applyFont="1" applyFill="1" applyAlignment="1">
      <alignment horizontal="center"/>
    </xf>
    <xf numFmtId="0" fontId="12" fillId="3" borderId="12" xfId="0" applyFont="1" applyFill="1" applyBorder="1" applyAlignment="1">
      <alignment horizontal="center"/>
    </xf>
    <xf numFmtId="0" fontId="12" fillId="3" borderId="16" xfId="0" applyFont="1" applyFill="1" applyBorder="1" applyAlignment="1">
      <alignment horizontal="center"/>
    </xf>
    <xf numFmtId="2" fontId="8" fillId="3" borderId="16" xfId="0" applyNumberFormat="1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/>
    </xf>
    <xf numFmtId="0" fontId="13" fillId="2" borderId="0" xfId="0" applyFont="1" applyFill="1" applyAlignment="1">
      <alignment horizontal="left"/>
    </xf>
    <xf numFmtId="0" fontId="0" fillId="3" borderId="25" xfId="0" applyFill="1" applyBorder="1" applyAlignment="1">
      <alignment horizontal="center"/>
    </xf>
    <xf numFmtId="0" fontId="0" fillId="3" borderId="2" xfId="0" applyFill="1" applyBorder="1"/>
    <xf numFmtId="0" fontId="0" fillId="3" borderId="26" xfId="0" applyFill="1" applyBorder="1" applyAlignment="1">
      <alignment horizontal="left" vertical="center" wrapText="1"/>
    </xf>
    <xf numFmtId="0" fontId="14" fillId="3" borderId="0" xfId="0" applyFont="1" applyFill="1"/>
    <xf numFmtId="0" fontId="0" fillId="3" borderId="27" xfId="0" applyFill="1" applyBorder="1"/>
    <xf numFmtId="14" fontId="0" fillId="3" borderId="3" xfId="0" applyNumberFormat="1" applyFill="1" applyBorder="1" applyAlignment="1">
      <alignment horizontal="center" wrapText="1"/>
    </xf>
    <xf numFmtId="14" fontId="15" fillId="3" borderId="28" xfId="0" applyNumberFormat="1" applyFont="1" applyFill="1" applyBorder="1" applyAlignment="1">
      <alignment horizontal="center"/>
    </xf>
    <xf numFmtId="0" fontId="0" fillId="3" borderId="29" xfId="0" applyFill="1" applyBorder="1"/>
    <xf numFmtId="14" fontId="15" fillId="3" borderId="4" xfId="0" applyNumberFormat="1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9" fontId="0" fillId="3" borderId="1" xfId="0" applyNumberFormat="1" applyFill="1" applyBorder="1" applyAlignment="1">
      <alignment horizontal="center"/>
    </xf>
    <xf numFmtId="3" fontId="0" fillId="3" borderId="31" xfId="0" applyNumberFormat="1" applyFill="1" applyBorder="1" applyAlignment="1">
      <alignment horizontal="center"/>
    </xf>
    <xf numFmtId="9" fontId="0" fillId="3" borderId="32" xfId="1" applyFont="1" applyFill="1" applyBorder="1" applyAlignment="1">
      <alignment horizontal="center"/>
    </xf>
    <xf numFmtId="9" fontId="0" fillId="3" borderId="5" xfId="0" applyNumberFormat="1" applyFill="1" applyBorder="1" applyAlignment="1">
      <alignment horizontal="center"/>
    </xf>
    <xf numFmtId="0" fontId="0" fillId="3" borderId="7" xfId="0" applyFill="1" applyBorder="1" applyAlignment="1">
      <alignment horizontal="right"/>
    </xf>
    <xf numFmtId="9" fontId="0" fillId="3" borderId="32" xfId="1" applyFont="1" applyFill="1" applyBorder="1" applyAlignment="1">
      <alignment horizontal="left"/>
    </xf>
    <xf numFmtId="9" fontId="0" fillId="3" borderId="0" xfId="0" applyNumberFormat="1" applyFill="1" applyAlignment="1">
      <alignment horizontal="center"/>
    </xf>
    <xf numFmtId="0" fontId="0" fillId="3" borderId="32" xfId="0" applyFill="1" applyBorder="1" applyAlignment="1">
      <alignment horizontal="center"/>
    </xf>
    <xf numFmtId="0" fontId="0" fillId="3" borderId="33" xfId="0" applyFill="1" applyBorder="1" applyAlignment="1">
      <alignment horizontal="center"/>
    </xf>
    <xf numFmtId="0" fontId="4" fillId="3" borderId="6" xfId="0" applyFont="1" applyFill="1" applyBorder="1"/>
    <xf numFmtId="0" fontId="0" fillId="3" borderId="22" xfId="0" applyFill="1" applyBorder="1" applyAlignment="1">
      <alignment horizontal="center"/>
    </xf>
    <xf numFmtId="0" fontId="0" fillId="3" borderId="9" xfId="0" applyFill="1" applyBorder="1"/>
    <xf numFmtId="0" fontId="0" fillId="0" borderId="34" xfId="0" applyBorder="1"/>
    <xf numFmtId="0" fontId="0" fillId="0" borderId="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3" borderId="34" xfId="0" applyFill="1" applyBorder="1"/>
    <xf numFmtId="168" fontId="0" fillId="0" borderId="1" xfId="0" applyNumberFormat="1" applyBorder="1" applyAlignment="1">
      <alignment horizontal="center"/>
    </xf>
    <xf numFmtId="168" fontId="0" fillId="0" borderId="32" xfId="0" applyNumberFormat="1" applyBorder="1" applyAlignment="1">
      <alignment horizontal="center"/>
    </xf>
    <xf numFmtId="169" fontId="1" fillId="0" borderId="1" xfId="2" applyNumberFormat="1" applyBorder="1" applyAlignment="1">
      <alignment horizontal="center"/>
    </xf>
    <xf numFmtId="169" fontId="1" fillId="0" borderId="32" xfId="2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32" xfId="0" applyNumberFormat="1" applyBorder="1" applyAlignment="1">
      <alignment horizontal="center"/>
    </xf>
    <xf numFmtId="170" fontId="1" fillId="0" borderId="1" xfId="1" applyNumberFormat="1" applyBorder="1" applyAlignment="1">
      <alignment horizontal="center"/>
    </xf>
    <xf numFmtId="170" fontId="1" fillId="0" borderId="32" xfId="1" applyNumberFormat="1" applyBorder="1" applyAlignment="1">
      <alignment horizontal="center"/>
    </xf>
    <xf numFmtId="0" fontId="0" fillId="3" borderId="22" xfId="0" applyFill="1" applyBorder="1"/>
    <xf numFmtId="0" fontId="0" fillId="3" borderId="23" xfId="0" applyFill="1" applyBorder="1"/>
    <xf numFmtId="164" fontId="12" fillId="3" borderId="11" xfId="0" applyNumberFormat="1" applyFont="1" applyFill="1" applyBorder="1" applyAlignment="1">
      <alignment horizontal="center"/>
    </xf>
    <xf numFmtId="10" fontId="12" fillId="3" borderId="12" xfId="0" applyNumberFormat="1" applyFont="1" applyFill="1" applyBorder="1" applyAlignment="1">
      <alignment horizontal="center"/>
    </xf>
    <xf numFmtId="9" fontId="0" fillId="0" borderId="0" xfId="1" applyFont="1"/>
    <xf numFmtId="10" fontId="12" fillId="3" borderId="16" xfId="1" applyNumberFormat="1" applyFont="1" applyFill="1" applyBorder="1" applyAlignment="1">
      <alignment horizontal="center"/>
    </xf>
    <xf numFmtId="10" fontId="16" fillId="3" borderId="0" xfId="1" applyNumberFormat="1" applyFont="1" applyFill="1" applyBorder="1" applyAlignment="1">
      <alignment horizontal="center"/>
    </xf>
    <xf numFmtId="0" fontId="12" fillId="3" borderId="21" xfId="0" applyFont="1" applyFill="1" applyBorder="1" applyAlignment="1">
      <alignment horizontal="center"/>
    </xf>
    <xf numFmtId="2" fontId="15" fillId="3" borderId="16" xfId="0" applyNumberFormat="1" applyFont="1" applyFill="1" applyBorder="1" applyAlignment="1">
      <alignment horizontal="center"/>
    </xf>
    <xf numFmtId="0" fontId="15" fillId="3" borderId="16" xfId="0" applyFont="1" applyFill="1" applyBorder="1" applyAlignment="1">
      <alignment horizontal="center"/>
    </xf>
    <xf numFmtId="0" fontId="15" fillId="3" borderId="0" xfId="0" applyFont="1" applyFill="1" applyAlignment="1">
      <alignment horizontal="center"/>
    </xf>
    <xf numFmtId="10" fontId="6" fillId="3" borderId="16" xfId="1" applyNumberFormat="1" applyFont="1" applyFill="1" applyBorder="1" applyAlignment="1">
      <alignment horizontal="center"/>
    </xf>
    <xf numFmtId="10" fontId="17" fillId="3" borderId="0" xfId="1" applyNumberFormat="1" applyFont="1" applyFill="1" applyBorder="1" applyAlignment="1">
      <alignment horizontal="center"/>
    </xf>
    <xf numFmtId="0" fontId="0" fillId="0" borderId="6" xfId="0" applyBorder="1"/>
    <xf numFmtId="0" fontId="0" fillId="0" borderId="22" xfId="0" applyBorder="1"/>
    <xf numFmtId="0" fontId="0" fillId="0" borderId="9" xfId="0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0" fillId="0" borderId="23" xfId="0" applyBorder="1"/>
    <xf numFmtId="0" fontId="0" fillId="0" borderId="10" xfId="0" applyBorder="1"/>
    <xf numFmtId="0" fontId="19" fillId="0" borderId="21" xfId="0" applyFont="1" applyBorder="1"/>
    <xf numFmtId="0" fontId="19" fillId="0" borderId="27" xfId="0" applyFont="1" applyBorder="1"/>
    <xf numFmtId="0" fontId="19" fillId="0" borderId="29" xfId="0" applyFont="1" applyBorder="1"/>
    <xf numFmtId="0" fontId="0" fillId="0" borderId="24" xfId="0" applyBorder="1"/>
    <xf numFmtId="0" fontId="19" fillId="0" borderId="24" xfId="0" applyFont="1" applyBorder="1"/>
    <xf numFmtId="0" fontId="18" fillId="0" borderId="21" xfId="3" applyBorder="1"/>
    <xf numFmtId="0" fontId="18" fillId="0" borderId="27" xfId="3" applyBorder="1"/>
    <xf numFmtId="0" fontId="0" fillId="0" borderId="27" xfId="0" applyBorder="1"/>
    <xf numFmtId="0" fontId="0" fillId="0" borderId="29" xfId="0" applyBorder="1"/>
    <xf numFmtId="0" fontId="18" fillId="10" borderId="27" xfId="3" applyFill="1" applyBorder="1"/>
    <xf numFmtId="0" fontId="21" fillId="6" borderId="27" xfId="3" applyFont="1" applyFill="1" applyBorder="1"/>
    <xf numFmtId="0" fontId="20" fillId="6" borderId="0" xfId="0" applyFont="1" applyFill="1"/>
    <xf numFmtId="0" fontId="0" fillId="10" borderId="0" xfId="0" applyFill="1"/>
    <xf numFmtId="0" fontId="19" fillId="10" borderId="0" xfId="0" applyFont="1" applyFill="1"/>
    <xf numFmtId="0" fontId="22" fillId="10" borderId="27" xfId="3" applyFont="1" applyFill="1" applyBorder="1"/>
    <xf numFmtId="164" fontId="12" fillId="10" borderId="11" xfId="0" applyNumberFormat="1" applyFont="1" applyFill="1" applyBorder="1" applyAlignment="1">
      <alignment horizontal="center"/>
    </xf>
    <xf numFmtId="9" fontId="0" fillId="0" borderId="0" xfId="0" applyNumberFormat="1"/>
    <xf numFmtId="0" fontId="19" fillId="10" borderId="27" xfId="0" applyFont="1" applyFill="1" applyBorder="1"/>
    <xf numFmtId="0" fontId="24" fillId="3" borderId="12" xfId="0" applyFont="1" applyFill="1" applyBorder="1" applyAlignment="1">
      <alignment horizontal="center"/>
    </xf>
    <xf numFmtId="10" fontId="0" fillId="0" borderId="0" xfId="0" applyNumberFormat="1"/>
    <xf numFmtId="17" fontId="0" fillId="0" borderId="0" xfId="0" applyNumberFormat="1"/>
    <xf numFmtId="0" fontId="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169" fontId="1" fillId="0" borderId="35" xfId="2" applyNumberFormat="1" applyBorder="1" applyAlignment="1">
      <alignment horizontal="center"/>
    </xf>
    <xf numFmtId="169" fontId="1" fillId="0" borderId="36" xfId="2" applyNumberFormat="1" applyBorder="1" applyAlignment="1">
      <alignment horizontal="center"/>
    </xf>
  </cellXfs>
  <cellStyles count="4">
    <cellStyle name="Currency" xfId="2" builtinId="4"/>
    <cellStyle name="Hyperlink" xfId="3" builtinId="8"/>
    <cellStyle name="Normal" xfId="0" builtinId="0"/>
    <cellStyle name="Percent" xfId="1" builtinId="5"/>
  </cellStyles>
  <dxfs count="572"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457200</xdr:colOff>
      <xdr:row>7</xdr:row>
      <xdr:rowOff>38100</xdr:rowOff>
    </xdr:from>
    <xdr:to>
      <xdr:col>10</xdr:col>
      <xdr:colOff>409856</xdr:colOff>
      <xdr:row>8</xdr:row>
      <xdr:rowOff>142918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6E9564E-9CBE-E4F1-C2C7-94842F702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0" y="1457325"/>
          <a:ext cx="2010056" cy="304843"/>
        </a:xfrm>
        <a:prstGeom prst="rect">
          <a:avLst/>
        </a:prstGeom>
      </xdr:spPr>
    </xdr:pic>
    <xdr:clientData/>
  </xdr:twoCellAnchor>
  <xdr:twoCellAnchor editAs="oneCell">
    <xdr:from>
      <xdr:col>7</xdr:col>
      <xdr:colOff>95250</xdr:colOff>
      <xdr:row>12</xdr:row>
      <xdr:rowOff>66675</xdr:rowOff>
    </xdr:from>
    <xdr:to>
      <xdr:col>10</xdr:col>
      <xdr:colOff>600433</xdr:colOff>
      <xdr:row>24</xdr:row>
      <xdr:rowOff>114644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B6E270-C9B0-AC50-662A-B1D44248C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67300" y="2486025"/>
          <a:ext cx="2562583" cy="2467319"/>
        </a:xfrm>
        <a:prstGeom prst="rect">
          <a:avLst/>
        </a:prstGeom>
      </xdr:spPr>
    </xdr:pic>
    <xdr:clientData/>
  </xdr:twoCellAnchor>
  <xdr:twoCellAnchor editAs="oneCell">
    <xdr:from>
      <xdr:col>7</xdr:col>
      <xdr:colOff>381000</xdr:colOff>
      <xdr:row>27</xdr:row>
      <xdr:rowOff>0</xdr:rowOff>
    </xdr:from>
    <xdr:to>
      <xdr:col>10</xdr:col>
      <xdr:colOff>171708</xdr:colOff>
      <xdr:row>29</xdr:row>
      <xdr:rowOff>152477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D349390-A8FD-F1AE-A878-FBB84179CD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53050" y="5438775"/>
          <a:ext cx="1848108" cy="552527"/>
        </a:xfrm>
        <a:prstGeom prst="rect">
          <a:avLst/>
        </a:prstGeom>
      </xdr:spPr>
    </xdr:pic>
    <xdr:clientData/>
  </xdr:twoCellAnchor>
  <xdr:twoCellAnchor editAs="oneCell">
    <xdr:from>
      <xdr:col>7</xdr:col>
      <xdr:colOff>85725</xdr:colOff>
      <xdr:row>33</xdr:row>
      <xdr:rowOff>133350</xdr:rowOff>
    </xdr:from>
    <xdr:to>
      <xdr:col>10</xdr:col>
      <xdr:colOff>609600</xdr:colOff>
      <xdr:row>35</xdr:row>
      <xdr:rowOff>142932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C2F1B44-22F3-6B1B-769D-65C462098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57775" y="6772275"/>
          <a:ext cx="2581275" cy="4096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266700</xdr:colOff>
          <xdr:row>7</xdr:row>
          <xdr:rowOff>63500</xdr:rowOff>
        </xdr:from>
        <xdr:to>
          <xdr:col>16</xdr:col>
          <xdr:colOff>393700</xdr:colOff>
          <xdr:row>12</xdr:row>
          <xdr:rowOff>25400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0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 charset="0"/>
                </a:rPr>
                <a:t>Nueva Hoja NASDAQ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342900</xdr:colOff>
      <xdr:row>22</xdr:row>
      <xdr:rowOff>104775</xdr:rowOff>
    </xdr:from>
    <xdr:to>
      <xdr:col>18</xdr:col>
      <xdr:colOff>581345</xdr:colOff>
      <xdr:row>26</xdr:row>
      <xdr:rowOff>190624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A6BC5BD-E8F5-96D0-9C0D-8CFE83DDD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01350" y="4505325"/>
          <a:ext cx="2295845" cy="885949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28</xdr:row>
      <xdr:rowOff>9525</xdr:rowOff>
    </xdr:from>
    <xdr:to>
      <xdr:col>23</xdr:col>
      <xdr:colOff>19914</xdr:colOff>
      <xdr:row>41</xdr:row>
      <xdr:rowOff>38468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2670CA7-534D-EED7-CE05-41567275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915525" y="5657850"/>
          <a:ext cx="6192114" cy="26387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266700</xdr:colOff>
          <xdr:row>7</xdr:row>
          <xdr:rowOff>63500</xdr:rowOff>
        </xdr:from>
        <xdr:to>
          <xdr:col>20</xdr:col>
          <xdr:colOff>393700</xdr:colOff>
          <xdr:row>12</xdr:row>
          <xdr:rowOff>25400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0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 charset="0"/>
                </a:rPr>
                <a:t>Nueva Hoja NYSE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A643D66-CC81-4527-A44A-8525653D6CAE}" name="Table1" displayName="Table1" ref="D4:E6004" totalsRowShown="0">
  <autoFilter ref="D4:E6004" xr:uid="{FA643D66-CC81-4527-A44A-8525653D6CAE}"/>
  <tableColumns count="2">
    <tableColumn id="1" xr3:uid="{AAA58872-17F5-485F-8488-0F4E9BDDB28F}" name="Nombre" dataDxfId="571"/>
    <tableColumn id="2" xr3:uid="{0C133D72-6BB7-4D50-BD70-82462FA87981}" name="STOCK" dataDxfId="57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EC1A0-1B00-4650-BF2D-97432FB18AD8}">
  <sheetPr codeName="Sheet14"/>
  <dimension ref="C3:X6004"/>
  <sheetViews>
    <sheetView showGridLines="0" workbookViewId="0">
      <selection activeCell="E6" sqref="E6"/>
    </sheetView>
  </sheetViews>
  <sheetFormatPr baseColWidth="10" defaultColWidth="8.83203125" defaultRowHeight="16" x14ac:dyDescent="0.2"/>
  <cols>
    <col min="3" max="3" width="3.1640625" bestFit="1" customWidth="1"/>
    <col min="4" max="4" width="25.6640625" bestFit="1" customWidth="1"/>
  </cols>
  <sheetData>
    <row r="3" spans="3:21" ht="17" thickBot="1" x14ac:dyDescent="0.25"/>
    <row r="4" spans="3:21" ht="17" thickBot="1" x14ac:dyDescent="0.25">
      <c r="D4" s="150" t="s">
        <v>140</v>
      </c>
      <c r="E4" s="151" t="s">
        <v>139</v>
      </c>
    </row>
    <row r="5" spans="3:21" ht="17" thickBot="1" x14ac:dyDescent="0.25">
      <c r="C5">
        <v>1</v>
      </c>
      <c r="D5" s="147" t="s">
        <v>68</v>
      </c>
      <c r="E5" s="152" t="s">
        <v>137</v>
      </c>
      <c r="H5" s="139" t="s">
        <v>155</v>
      </c>
      <c r="I5" s="140"/>
      <c r="J5" s="140"/>
      <c r="K5" s="141"/>
    </row>
    <row r="6" spans="3:21" x14ac:dyDescent="0.2">
      <c r="C6">
        <v>2</v>
      </c>
      <c r="D6" s="148" t="s">
        <v>69</v>
      </c>
      <c r="E6" s="153" t="s">
        <v>69</v>
      </c>
      <c r="H6" s="142" t="s">
        <v>148</v>
      </c>
      <c r="K6" s="143"/>
      <c r="N6" s="139"/>
      <c r="O6" s="140"/>
      <c r="P6" s="140"/>
      <c r="Q6" s="140"/>
      <c r="R6" s="140"/>
      <c r="S6" s="140"/>
      <c r="T6" s="140"/>
      <c r="U6" s="141"/>
    </row>
    <row r="7" spans="3:21" x14ac:dyDescent="0.2">
      <c r="C7">
        <v>3</v>
      </c>
      <c r="D7" s="148" t="s">
        <v>141</v>
      </c>
      <c r="E7" s="153" t="s">
        <v>138</v>
      </c>
      <c r="H7" s="142" t="s">
        <v>149</v>
      </c>
      <c r="K7" s="143"/>
      <c r="N7" s="142"/>
      <c r="O7" s="169" t="s">
        <v>156</v>
      </c>
      <c r="P7" s="169"/>
      <c r="Q7" s="169"/>
      <c r="R7" s="169"/>
      <c r="S7" s="169"/>
      <c r="T7" s="169"/>
      <c r="U7" s="143"/>
    </row>
    <row r="8" spans="3:21" x14ac:dyDescent="0.2">
      <c r="C8">
        <v>4</v>
      </c>
      <c r="D8" s="148" t="s">
        <v>142</v>
      </c>
      <c r="E8" s="157" t="s">
        <v>120</v>
      </c>
      <c r="F8" s="163"/>
      <c r="H8" s="142"/>
      <c r="K8" s="143"/>
      <c r="N8" s="142"/>
      <c r="U8" s="143"/>
    </row>
    <row r="9" spans="3:21" x14ac:dyDescent="0.2">
      <c r="C9">
        <v>5</v>
      </c>
      <c r="D9" s="148" t="s">
        <v>143</v>
      </c>
      <c r="E9" s="156" t="s">
        <v>122</v>
      </c>
      <c r="H9" s="142"/>
      <c r="K9" s="143"/>
      <c r="N9" s="142"/>
      <c r="U9" s="143"/>
    </row>
    <row r="10" spans="3:21" x14ac:dyDescent="0.2">
      <c r="C10">
        <v>6</v>
      </c>
      <c r="D10" s="148" t="s">
        <v>144</v>
      </c>
      <c r="E10" s="153" t="s">
        <v>136</v>
      </c>
      <c r="H10" s="142" t="s">
        <v>150</v>
      </c>
      <c r="K10" s="143"/>
      <c r="N10" s="142"/>
      <c r="U10" s="143"/>
    </row>
    <row r="11" spans="3:21" x14ac:dyDescent="0.2">
      <c r="C11">
        <v>7</v>
      </c>
      <c r="D11" s="148" t="s">
        <v>145</v>
      </c>
      <c r="E11" s="156" t="s">
        <v>134</v>
      </c>
      <c r="H11" s="142" t="s">
        <v>151</v>
      </c>
      <c r="K11" s="143"/>
      <c r="N11" s="142"/>
      <c r="U11" s="143"/>
    </row>
    <row r="12" spans="3:21" x14ac:dyDescent="0.2">
      <c r="C12">
        <v>8</v>
      </c>
      <c r="D12" s="148" t="s">
        <v>131</v>
      </c>
      <c r="E12" s="153" t="s">
        <v>132</v>
      </c>
      <c r="H12" s="142" t="s">
        <v>152</v>
      </c>
      <c r="K12" s="143"/>
      <c r="N12" s="142"/>
      <c r="U12" s="143"/>
    </row>
    <row r="13" spans="3:21" x14ac:dyDescent="0.2">
      <c r="C13">
        <v>9</v>
      </c>
      <c r="D13" s="148" t="s">
        <v>129</v>
      </c>
      <c r="E13" s="156" t="s">
        <v>130</v>
      </c>
      <c r="H13" s="142"/>
      <c r="K13" s="143"/>
      <c r="N13" s="142"/>
      <c r="U13" s="143"/>
    </row>
    <row r="14" spans="3:21" x14ac:dyDescent="0.2">
      <c r="C14">
        <v>10</v>
      </c>
      <c r="D14" s="148" t="s">
        <v>146</v>
      </c>
      <c r="E14" s="153" t="s">
        <v>124</v>
      </c>
      <c r="H14" s="142"/>
      <c r="K14" s="143"/>
      <c r="N14" s="142"/>
      <c r="O14" s="169" t="s">
        <v>157</v>
      </c>
      <c r="P14" s="169"/>
      <c r="Q14" s="169"/>
      <c r="R14" s="169"/>
      <c r="S14" s="169"/>
      <c r="T14" s="169"/>
      <c r="U14" s="143"/>
    </row>
    <row r="15" spans="3:21" ht="17" thickBot="1" x14ac:dyDescent="0.25">
      <c r="C15">
        <v>11</v>
      </c>
      <c r="D15" s="148" t="s">
        <v>147</v>
      </c>
      <c r="E15" s="153" t="s">
        <v>127</v>
      </c>
      <c r="H15" s="142"/>
      <c r="K15" s="143"/>
      <c r="N15" s="144"/>
      <c r="O15" s="145"/>
      <c r="P15" s="145"/>
      <c r="Q15" s="145"/>
      <c r="R15" s="145"/>
      <c r="S15" s="145"/>
      <c r="T15" s="145"/>
      <c r="U15" s="146"/>
    </row>
    <row r="16" spans="3:21" ht="17" thickBot="1" x14ac:dyDescent="0.25">
      <c r="C16">
        <v>12</v>
      </c>
      <c r="D16" s="148" t="s">
        <v>169</v>
      </c>
      <c r="E16" s="153" t="s">
        <v>170</v>
      </c>
      <c r="H16" s="142"/>
      <c r="K16" s="143"/>
    </row>
    <row r="17" spans="3:24" x14ac:dyDescent="0.2">
      <c r="C17">
        <v>13</v>
      </c>
      <c r="D17" s="148" t="s">
        <v>171</v>
      </c>
      <c r="E17" s="156" t="s">
        <v>173</v>
      </c>
      <c r="H17" s="142"/>
      <c r="K17" s="143"/>
      <c r="N17" s="139"/>
      <c r="O17" s="140"/>
      <c r="P17" s="140"/>
      <c r="Q17" s="140"/>
      <c r="R17" s="140"/>
      <c r="S17" s="140"/>
      <c r="T17" s="140"/>
      <c r="U17" s="140"/>
      <c r="V17" s="140"/>
      <c r="W17" s="140"/>
      <c r="X17" s="141"/>
    </row>
    <row r="18" spans="3:24" x14ac:dyDescent="0.2">
      <c r="C18">
        <v>14</v>
      </c>
      <c r="D18" s="148" t="s">
        <v>178</v>
      </c>
      <c r="E18" s="156" t="s">
        <v>177</v>
      </c>
      <c r="H18" s="142"/>
      <c r="K18" s="143"/>
      <c r="N18" s="142"/>
      <c r="O18" t="s">
        <v>158</v>
      </c>
      <c r="X18" s="143"/>
    </row>
    <row r="19" spans="3:24" x14ac:dyDescent="0.2">
      <c r="C19">
        <v>15</v>
      </c>
      <c r="D19" s="148" t="s">
        <v>181</v>
      </c>
      <c r="E19" s="157" t="s">
        <v>180</v>
      </c>
      <c r="F19" s="158" t="s">
        <v>182</v>
      </c>
      <c r="G19" s="163"/>
      <c r="H19" s="142"/>
      <c r="K19" s="143"/>
      <c r="N19" s="142"/>
      <c r="O19" t="s">
        <v>159</v>
      </c>
      <c r="X19" s="143"/>
    </row>
    <row r="20" spans="3:24" x14ac:dyDescent="0.2">
      <c r="C20">
        <v>16</v>
      </c>
      <c r="D20" s="148" t="s">
        <v>183</v>
      </c>
      <c r="E20" s="153" t="s">
        <v>183</v>
      </c>
      <c r="H20" s="142"/>
      <c r="K20" s="143"/>
      <c r="N20" s="142"/>
      <c r="O20" t="s">
        <v>160</v>
      </c>
      <c r="X20" s="143"/>
    </row>
    <row r="21" spans="3:24" x14ac:dyDescent="0.2">
      <c r="C21">
        <v>17</v>
      </c>
      <c r="D21" s="148" t="s">
        <v>186</v>
      </c>
      <c r="E21" s="153" t="s">
        <v>185</v>
      </c>
      <c r="H21" s="142"/>
      <c r="K21" s="143"/>
      <c r="N21" s="142"/>
      <c r="O21" t="s">
        <v>161</v>
      </c>
      <c r="X21" s="143"/>
    </row>
    <row r="22" spans="3:24" x14ac:dyDescent="0.2">
      <c r="C22">
        <v>18</v>
      </c>
      <c r="D22" s="148" t="s">
        <v>187</v>
      </c>
      <c r="E22" s="153" t="s">
        <v>188</v>
      </c>
      <c r="G22" s="163"/>
      <c r="H22" s="142"/>
      <c r="K22" s="143"/>
      <c r="N22" s="142"/>
      <c r="O22" t="s">
        <v>162</v>
      </c>
      <c r="X22" s="143"/>
    </row>
    <row r="23" spans="3:24" x14ac:dyDescent="0.2">
      <c r="C23" s="159">
        <v>19</v>
      </c>
      <c r="D23" s="164" t="s">
        <v>189</v>
      </c>
      <c r="E23" s="161" t="s">
        <v>190</v>
      </c>
      <c r="F23" s="160" t="s">
        <v>192</v>
      </c>
      <c r="G23" s="159"/>
      <c r="H23" s="142"/>
      <c r="K23" s="143"/>
      <c r="N23" s="142"/>
      <c r="X23" s="143"/>
    </row>
    <row r="24" spans="3:24" x14ac:dyDescent="0.2">
      <c r="C24">
        <v>20</v>
      </c>
      <c r="D24" s="148" t="s">
        <v>194</v>
      </c>
      <c r="E24" s="156" t="s">
        <v>193</v>
      </c>
      <c r="H24" s="142"/>
      <c r="K24" s="143"/>
      <c r="N24" s="142"/>
      <c r="X24" s="143"/>
    </row>
    <row r="25" spans="3:24" x14ac:dyDescent="0.2">
      <c r="C25">
        <v>21</v>
      </c>
      <c r="D25" s="148" t="s">
        <v>195</v>
      </c>
      <c r="E25" s="156" t="s">
        <v>196</v>
      </c>
      <c r="H25" s="142"/>
      <c r="K25" s="143"/>
      <c r="N25" s="142"/>
      <c r="X25" s="143"/>
    </row>
    <row r="26" spans="3:24" x14ac:dyDescent="0.2">
      <c r="C26">
        <v>22</v>
      </c>
      <c r="D26" s="148" t="s">
        <v>197</v>
      </c>
      <c r="E26" s="153" t="s">
        <v>198</v>
      </c>
      <c r="H26" s="142" t="s">
        <v>153</v>
      </c>
      <c r="K26" s="143"/>
      <c r="N26" s="142"/>
      <c r="X26" s="143"/>
    </row>
    <row r="27" spans="3:24" x14ac:dyDescent="0.2">
      <c r="C27">
        <v>23</v>
      </c>
      <c r="D27" s="148" t="s">
        <v>199</v>
      </c>
      <c r="E27" s="153" t="s">
        <v>200</v>
      </c>
      <c r="H27" s="142" t="s">
        <v>154</v>
      </c>
      <c r="K27" s="143"/>
      <c r="N27" s="142"/>
      <c r="X27" s="143"/>
    </row>
    <row r="28" spans="3:24" x14ac:dyDescent="0.2">
      <c r="C28">
        <v>24</v>
      </c>
      <c r="D28" s="148" t="s">
        <v>201</v>
      </c>
      <c r="E28" s="153" t="s">
        <v>202</v>
      </c>
      <c r="H28" s="142"/>
      <c r="K28" s="143"/>
      <c r="N28" s="142"/>
      <c r="O28" t="s">
        <v>163</v>
      </c>
      <c r="X28" s="143"/>
    </row>
    <row r="29" spans="3:24" x14ac:dyDescent="0.2">
      <c r="C29">
        <v>25</v>
      </c>
      <c r="D29" s="148" t="s">
        <v>204</v>
      </c>
      <c r="E29" s="153" t="s">
        <v>175</v>
      </c>
      <c r="H29" s="142"/>
      <c r="K29" s="143"/>
      <c r="N29" s="142"/>
      <c r="X29" s="143"/>
    </row>
    <row r="30" spans="3:24" x14ac:dyDescent="0.2">
      <c r="C30">
        <v>26</v>
      </c>
      <c r="D30" s="148" t="s">
        <v>205</v>
      </c>
      <c r="E30" s="153" t="s">
        <v>206</v>
      </c>
      <c r="H30" s="142"/>
      <c r="K30" s="143"/>
      <c r="N30" s="142"/>
      <c r="X30" s="143"/>
    </row>
    <row r="31" spans="3:24" x14ac:dyDescent="0.2">
      <c r="C31">
        <v>27</v>
      </c>
      <c r="D31" s="148" t="s">
        <v>207</v>
      </c>
      <c r="E31" s="153" t="s">
        <v>208</v>
      </c>
      <c r="H31" s="142" t="s">
        <v>166</v>
      </c>
      <c r="K31" s="143"/>
      <c r="N31" s="142"/>
      <c r="X31" s="143"/>
    </row>
    <row r="32" spans="3:24" x14ac:dyDescent="0.2">
      <c r="C32">
        <v>28</v>
      </c>
      <c r="D32" s="148" t="s">
        <v>209</v>
      </c>
      <c r="E32" s="153" t="s">
        <v>210</v>
      </c>
      <c r="H32" s="142" t="s">
        <v>168</v>
      </c>
      <c r="K32" s="143"/>
      <c r="N32" s="142"/>
      <c r="X32" s="143"/>
    </row>
    <row r="33" spans="3:24" x14ac:dyDescent="0.2">
      <c r="C33">
        <v>29</v>
      </c>
      <c r="D33" s="148" t="s">
        <v>211</v>
      </c>
      <c r="E33" s="153" t="s">
        <v>212</v>
      </c>
      <c r="H33" s="142" t="s">
        <v>167</v>
      </c>
      <c r="K33" s="143"/>
      <c r="N33" s="142"/>
      <c r="X33" s="143"/>
    </row>
    <row r="34" spans="3:24" x14ac:dyDescent="0.2">
      <c r="C34">
        <v>30</v>
      </c>
      <c r="D34" s="148" t="s">
        <v>215</v>
      </c>
      <c r="E34" s="153" t="s">
        <v>214</v>
      </c>
      <c r="H34" s="142"/>
      <c r="K34" s="143"/>
      <c r="N34" s="142"/>
      <c r="X34" s="143"/>
    </row>
    <row r="35" spans="3:24" x14ac:dyDescent="0.2">
      <c r="C35">
        <v>31</v>
      </c>
      <c r="D35" s="148" t="s">
        <v>216</v>
      </c>
      <c r="E35" s="153" t="s">
        <v>217</v>
      </c>
      <c r="H35" s="142"/>
      <c r="K35" s="143"/>
      <c r="N35" s="142"/>
      <c r="X35" s="143"/>
    </row>
    <row r="36" spans="3:24" x14ac:dyDescent="0.2">
      <c r="C36">
        <v>32</v>
      </c>
      <c r="D36" s="148" t="s">
        <v>220</v>
      </c>
      <c r="E36" s="153" t="s">
        <v>221</v>
      </c>
      <c r="H36" s="142"/>
      <c r="K36" s="143"/>
      <c r="N36" s="142"/>
      <c r="X36" s="143"/>
    </row>
    <row r="37" spans="3:24" ht="17" thickBot="1" x14ac:dyDescent="0.25">
      <c r="D37" s="148"/>
      <c r="E37" s="154"/>
      <c r="H37" s="144"/>
      <c r="I37" s="145"/>
      <c r="J37" s="145"/>
      <c r="K37" s="146"/>
      <c r="N37" s="142"/>
      <c r="X37" s="143"/>
    </row>
    <row r="38" spans="3:24" x14ac:dyDescent="0.2">
      <c r="D38" s="148"/>
      <c r="E38" s="154"/>
      <c r="N38" s="142"/>
      <c r="X38" s="143"/>
    </row>
    <row r="39" spans="3:24" x14ac:dyDescent="0.2">
      <c r="D39" s="148"/>
      <c r="E39" s="154"/>
      <c r="N39" s="142"/>
      <c r="X39" s="143"/>
    </row>
    <row r="40" spans="3:24" x14ac:dyDescent="0.2">
      <c r="D40" s="148"/>
      <c r="E40" s="154"/>
      <c r="N40" s="142"/>
      <c r="X40" s="143"/>
    </row>
    <row r="41" spans="3:24" x14ac:dyDescent="0.2">
      <c r="D41" s="148"/>
      <c r="E41" s="154"/>
      <c r="N41" s="142"/>
      <c r="X41" s="143"/>
    </row>
    <row r="42" spans="3:24" x14ac:dyDescent="0.2">
      <c r="D42" s="148"/>
      <c r="E42" s="154"/>
      <c r="N42" s="142"/>
      <c r="X42" s="143"/>
    </row>
    <row r="43" spans="3:24" x14ac:dyDescent="0.2">
      <c r="D43" s="148"/>
      <c r="E43" s="154"/>
      <c r="N43" s="142"/>
      <c r="O43" t="s">
        <v>164</v>
      </c>
      <c r="X43" s="143"/>
    </row>
    <row r="44" spans="3:24" x14ac:dyDescent="0.2">
      <c r="D44" s="148"/>
      <c r="E44" s="154"/>
      <c r="N44" s="142"/>
      <c r="O44" t="s">
        <v>165</v>
      </c>
      <c r="X44" s="143"/>
    </row>
    <row r="45" spans="3:24" ht="17" thickBot="1" x14ac:dyDescent="0.25">
      <c r="D45" s="148"/>
      <c r="E45" s="154"/>
      <c r="N45" s="144"/>
      <c r="O45" s="145"/>
      <c r="P45" s="145"/>
      <c r="Q45" s="145"/>
      <c r="R45" s="145"/>
      <c r="S45" s="145"/>
      <c r="T45" s="145"/>
      <c r="U45" s="145"/>
      <c r="V45" s="145"/>
      <c r="W45" s="145"/>
      <c r="X45" s="146"/>
    </row>
    <row r="46" spans="3:24" x14ac:dyDescent="0.2">
      <c r="D46" s="148"/>
      <c r="E46" s="154"/>
    </row>
    <row r="47" spans="3:24" x14ac:dyDescent="0.2">
      <c r="D47" s="148"/>
      <c r="E47" s="154"/>
    </row>
    <row r="48" spans="3:24" x14ac:dyDescent="0.2">
      <c r="D48" s="148"/>
      <c r="E48" s="154"/>
    </row>
    <row r="49" spans="4:5" x14ac:dyDescent="0.2">
      <c r="D49" s="148"/>
      <c r="E49" s="154"/>
    </row>
    <row r="50" spans="4:5" x14ac:dyDescent="0.2">
      <c r="D50" s="148"/>
      <c r="E50" s="154"/>
    </row>
    <row r="51" spans="4:5" x14ac:dyDescent="0.2">
      <c r="D51" s="148"/>
      <c r="E51" s="154"/>
    </row>
    <row r="52" spans="4:5" x14ac:dyDescent="0.2">
      <c r="D52" s="148"/>
      <c r="E52" s="154"/>
    </row>
    <row r="53" spans="4:5" x14ac:dyDescent="0.2">
      <c r="D53" s="148"/>
      <c r="E53" s="154"/>
    </row>
    <row r="54" spans="4:5" x14ac:dyDescent="0.2">
      <c r="D54" s="148"/>
      <c r="E54" s="154"/>
    </row>
    <row r="55" spans="4:5" x14ac:dyDescent="0.2">
      <c r="D55" s="148"/>
      <c r="E55" s="154"/>
    </row>
    <row r="56" spans="4:5" x14ac:dyDescent="0.2">
      <c r="D56" s="148"/>
      <c r="E56" s="154"/>
    </row>
    <row r="57" spans="4:5" x14ac:dyDescent="0.2">
      <c r="D57" s="148"/>
      <c r="E57" s="154"/>
    </row>
    <row r="58" spans="4:5" x14ac:dyDescent="0.2">
      <c r="D58" s="148"/>
      <c r="E58" s="154"/>
    </row>
    <row r="59" spans="4:5" x14ac:dyDescent="0.2">
      <c r="D59" s="148"/>
      <c r="E59" s="154"/>
    </row>
    <row r="60" spans="4:5" x14ac:dyDescent="0.2">
      <c r="D60" s="148"/>
      <c r="E60" s="154"/>
    </row>
    <row r="61" spans="4:5" x14ac:dyDescent="0.2">
      <c r="D61" s="148"/>
      <c r="E61" s="154"/>
    </row>
    <row r="62" spans="4:5" x14ac:dyDescent="0.2">
      <c r="D62" s="148"/>
      <c r="E62" s="154"/>
    </row>
    <row r="63" spans="4:5" x14ac:dyDescent="0.2">
      <c r="D63" s="148"/>
      <c r="E63" s="154"/>
    </row>
    <row r="64" spans="4:5" x14ac:dyDescent="0.2">
      <c r="D64" s="148"/>
      <c r="E64" s="154"/>
    </row>
    <row r="65" spans="4:5" x14ac:dyDescent="0.2">
      <c r="D65" s="148"/>
      <c r="E65" s="154"/>
    </row>
    <row r="66" spans="4:5" x14ac:dyDescent="0.2">
      <c r="D66" s="148"/>
      <c r="E66" s="154"/>
    </row>
    <row r="67" spans="4:5" x14ac:dyDescent="0.2">
      <c r="D67" s="148"/>
      <c r="E67" s="154"/>
    </row>
    <row r="68" spans="4:5" x14ac:dyDescent="0.2">
      <c r="D68" s="148"/>
      <c r="E68" s="154"/>
    </row>
    <row r="69" spans="4:5" x14ac:dyDescent="0.2">
      <c r="D69" s="148"/>
      <c r="E69" s="154"/>
    </row>
    <row r="70" spans="4:5" x14ac:dyDescent="0.2">
      <c r="D70" s="148"/>
      <c r="E70" s="154"/>
    </row>
    <row r="71" spans="4:5" x14ac:dyDescent="0.2">
      <c r="D71" s="148"/>
      <c r="E71" s="154"/>
    </row>
    <row r="72" spans="4:5" x14ac:dyDescent="0.2">
      <c r="D72" s="148"/>
      <c r="E72" s="154"/>
    </row>
    <row r="73" spans="4:5" x14ac:dyDescent="0.2">
      <c r="D73" s="148"/>
      <c r="E73" s="154"/>
    </row>
    <row r="74" spans="4:5" x14ac:dyDescent="0.2">
      <c r="D74" s="148"/>
      <c r="E74" s="154"/>
    </row>
    <row r="75" spans="4:5" x14ac:dyDescent="0.2">
      <c r="D75" s="148"/>
      <c r="E75" s="154"/>
    </row>
    <row r="76" spans="4:5" x14ac:dyDescent="0.2">
      <c r="D76" s="148"/>
      <c r="E76" s="154"/>
    </row>
    <row r="77" spans="4:5" x14ac:dyDescent="0.2">
      <c r="D77" s="148"/>
      <c r="E77" s="154"/>
    </row>
    <row r="78" spans="4:5" x14ac:dyDescent="0.2">
      <c r="D78" s="148"/>
      <c r="E78" s="154"/>
    </row>
    <row r="79" spans="4:5" x14ac:dyDescent="0.2">
      <c r="D79" s="148"/>
      <c r="E79" s="154"/>
    </row>
    <row r="80" spans="4:5" x14ac:dyDescent="0.2">
      <c r="D80" s="148"/>
      <c r="E80" s="154"/>
    </row>
    <row r="81" spans="4:5" x14ac:dyDescent="0.2">
      <c r="D81" s="148"/>
      <c r="E81" s="154"/>
    </row>
    <row r="82" spans="4:5" x14ac:dyDescent="0.2">
      <c r="D82" s="148"/>
      <c r="E82" s="154"/>
    </row>
    <row r="83" spans="4:5" x14ac:dyDescent="0.2">
      <c r="D83" s="148"/>
      <c r="E83" s="154"/>
    </row>
    <row r="84" spans="4:5" x14ac:dyDescent="0.2">
      <c r="D84" s="148"/>
      <c r="E84" s="154"/>
    </row>
    <row r="85" spans="4:5" x14ac:dyDescent="0.2">
      <c r="D85" s="148"/>
      <c r="E85" s="154"/>
    </row>
    <row r="86" spans="4:5" x14ac:dyDescent="0.2">
      <c r="D86" s="148"/>
      <c r="E86" s="154"/>
    </row>
    <row r="87" spans="4:5" x14ac:dyDescent="0.2">
      <c r="D87" s="148"/>
      <c r="E87" s="154"/>
    </row>
    <row r="88" spans="4:5" x14ac:dyDescent="0.2">
      <c r="D88" s="148"/>
      <c r="E88" s="154"/>
    </row>
    <row r="89" spans="4:5" x14ac:dyDescent="0.2">
      <c r="D89" s="148"/>
      <c r="E89" s="154"/>
    </row>
    <row r="90" spans="4:5" x14ac:dyDescent="0.2">
      <c r="D90" s="148"/>
      <c r="E90" s="154"/>
    </row>
    <row r="91" spans="4:5" x14ac:dyDescent="0.2">
      <c r="D91" s="148"/>
      <c r="E91" s="154"/>
    </row>
    <row r="92" spans="4:5" x14ac:dyDescent="0.2">
      <c r="D92" s="148"/>
      <c r="E92" s="154"/>
    </row>
    <row r="93" spans="4:5" x14ac:dyDescent="0.2">
      <c r="D93" s="148"/>
      <c r="E93" s="154"/>
    </row>
    <row r="94" spans="4:5" x14ac:dyDescent="0.2">
      <c r="D94" s="148"/>
      <c r="E94" s="154"/>
    </row>
    <row r="95" spans="4:5" x14ac:dyDescent="0.2">
      <c r="D95" s="148"/>
      <c r="E95" s="154"/>
    </row>
    <row r="96" spans="4:5" x14ac:dyDescent="0.2">
      <c r="D96" s="148"/>
      <c r="E96" s="154"/>
    </row>
    <row r="97" spans="4:5" x14ac:dyDescent="0.2">
      <c r="D97" s="148"/>
      <c r="E97" s="154"/>
    </row>
    <row r="98" spans="4:5" x14ac:dyDescent="0.2">
      <c r="D98" s="148"/>
      <c r="E98" s="154"/>
    </row>
    <row r="99" spans="4:5" x14ac:dyDescent="0.2">
      <c r="D99" s="148"/>
      <c r="E99" s="154"/>
    </row>
    <row r="100" spans="4:5" x14ac:dyDescent="0.2">
      <c r="D100" s="148"/>
      <c r="E100" s="154"/>
    </row>
    <row r="101" spans="4:5" x14ac:dyDescent="0.2">
      <c r="D101" s="148"/>
      <c r="E101" s="154"/>
    </row>
    <row r="102" spans="4:5" x14ac:dyDescent="0.2">
      <c r="D102" s="148"/>
      <c r="E102" s="154"/>
    </row>
    <row r="103" spans="4:5" x14ac:dyDescent="0.2">
      <c r="D103" s="148"/>
      <c r="E103" s="154"/>
    </row>
    <row r="104" spans="4:5" x14ac:dyDescent="0.2">
      <c r="D104" s="148"/>
      <c r="E104" s="154"/>
    </row>
    <row r="105" spans="4:5" x14ac:dyDescent="0.2">
      <c r="D105" s="148"/>
      <c r="E105" s="154"/>
    </row>
    <row r="106" spans="4:5" x14ac:dyDescent="0.2">
      <c r="D106" s="148"/>
      <c r="E106" s="154"/>
    </row>
    <row r="107" spans="4:5" x14ac:dyDescent="0.2">
      <c r="D107" s="148"/>
      <c r="E107" s="154"/>
    </row>
    <row r="108" spans="4:5" x14ac:dyDescent="0.2">
      <c r="D108" s="148"/>
      <c r="E108" s="154"/>
    </row>
    <row r="109" spans="4:5" x14ac:dyDescent="0.2">
      <c r="D109" s="148"/>
      <c r="E109" s="154"/>
    </row>
    <row r="110" spans="4:5" x14ac:dyDescent="0.2">
      <c r="D110" s="148"/>
      <c r="E110" s="154"/>
    </row>
    <row r="111" spans="4:5" x14ac:dyDescent="0.2">
      <c r="D111" s="148"/>
      <c r="E111" s="154"/>
    </row>
    <row r="112" spans="4:5" x14ac:dyDescent="0.2">
      <c r="D112" s="148"/>
      <c r="E112" s="154"/>
    </row>
    <row r="113" spans="4:5" x14ac:dyDescent="0.2">
      <c r="D113" s="148"/>
      <c r="E113" s="154"/>
    </row>
    <row r="114" spans="4:5" x14ac:dyDescent="0.2">
      <c r="D114" s="148"/>
      <c r="E114" s="154"/>
    </row>
    <row r="115" spans="4:5" x14ac:dyDescent="0.2">
      <c r="D115" s="148"/>
      <c r="E115" s="154"/>
    </row>
    <row r="116" spans="4:5" x14ac:dyDescent="0.2">
      <c r="D116" s="148"/>
      <c r="E116" s="154"/>
    </row>
    <row r="117" spans="4:5" x14ac:dyDescent="0.2">
      <c r="D117" s="148"/>
      <c r="E117" s="154"/>
    </row>
    <row r="118" spans="4:5" x14ac:dyDescent="0.2">
      <c r="D118" s="148"/>
      <c r="E118" s="154"/>
    </row>
    <row r="119" spans="4:5" x14ac:dyDescent="0.2">
      <c r="D119" s="148"/>
      <c r="E119" s="154"/>
    </row>
    <row r="120" spans="4:5" x14ac:dyDescent="0.2">
      <c r="D120" s="148"/>
      <c r="E120" s="154"/>
    </row>
    <row r="121" spans="4:5" x14ac:dyDescent="0.2">
      <c r="D121" s="148"/>
      <c r="E121" s="154"/>
    </row>
    <row r="122" spans="4:5" x14ac:dyDescent="0.2">
      <c r="D122" s="148"/>
      <c r="E122" s="154"/>
    </row>
    <row r="123" spans="4:5" x14ac:dyDescent="0.2">
      <c r="D123" s="148"/>
      <c r="E123" s="154"/>
    </row>
    <row r="124" spans="4:5" x14ac:dyDescent="0.2">
      <c r="D124" s="148"/>
      <c r="E124" s="154"/>
    </row>
    <row r="125" spans="4:5" x14ac:dyDescent="0.2">
      <c r="D125" s="148"/>
      <c r="E125" s="154"/>
    </row>
    <row r="126" spans="4:5" x14ac:dyDescent="0.2">
      <c r="D126" s="148"/>
      <c r="E126" s="154"/>
    </row>
    <row r="127" spans="4:5" x14ac:dyDescent="0.2">
      <c r="D127" s="148"/>
      <c r="E127" s="154"/>
    </row>
    <row r="128" spans="4:5" x14ac:dyDescent="0.2">
      <c r="D128" s="148"/>
      <c r="E128" s="154"/>
    </row>
    <row r="129" spans="4:5" x14ac:dyDescent="0.2">
      <c r="D129" s="148"/>
      <c r="E129" s="154"/>
    </row>
    <row r="130" spans="4:5" x14ac:dyDescent="0.2">
      <c r="D130" s="148"/>
      <c r="E130" s="154"/>
    </row>
    <row r="131" spans="4:5" x14ac:dyDescent="0.2">
      <c r="D131" s="148"/>
      <c r="E131" s="154"/>
    </row>
    <row r="132" spans="4:5" x14ac:dyDescent="0.2">
      <c r="D132" s="148"/>
      <c r="E132" s="154"/>
    </row>
    <row r="133" spans="4:5" x14ac:dyDescent="0.2">
      <c r="D133" s="148"/>
      <c r="E133" s="154"/>
    </row>
    <row r="134" spans="4:5" x14ac:dyDescent="0.2">
      <c r="D134" s="148"/>
      <c r="E134" s="154"/>
    </row>
    <row r="135" spans="4:5" x14ac:dyDescent="0.2">
      <c r="D135" s="148"/>
      <c r="E135" s="154"/>
    </row>
    <row r="136" spans="4:5" x14ac:dyDescent="0.2">
      <c r="D136" s="148"/>
      <c r="E136" s="154"/>
    </row>
    <row r="137" spans="4:5" x14ac:dyDescent="0.2">
      <c r="D137" s="148"/>
      <c r="E137" s="154"/>
    </row>
    <row r="138" spans="4:5" x14ac:dyDescent="0.2">
      <c r="D138" s="148"/>
      <c r="E138" s="154"/>
    </row>
    <row r="139" spans="4:5" x14ac:dyDescent="0.2">
      <c r="D139" s="148"/>
      <c r="E139" s="154"/>
    </row>
    <row r="140" spans="4:5" x14ac:dyDescent="0.2">
      <c r="D140" s="148"/>
      <c r="E140" s="154"/>
    </row>
    <row r="141" spans="4:5" x14ac:dyDescent="0.2">
      <c r="D141" s="148"/>
      <c r="E141" s="154"/>
    </row>
    <row r="142" spans="4:5" x14ac:dyDescent="0.2">
      <c r="D142" s="148"/>
      <c r="E142" s="154"/>
    </row>
    <row r="143" spans="4:5" x14ac:dyDescent="0.2">
      <c r="D143" s="148"/>
      <c r="E143" s="154"/>
    </row>
    <row r="144" spans="4:5" x14ac:dyDescent="0.2">
      <c r="D144" s="148"/>
      <c r="E144" s="154"/>
    </row>
    <row r="145" spans="4:5" x14ac:dyDescent="0.2">
      <c r="D145" s="148"/>
      <c r="E145" s="154"/>
    </row>
    <row r="146" spans="4:5" x14ac:dyDescent="0.2">
      <c r="D146" s="148"/>
      <c r="E146" s="154"/>
    </row>
    <row r="147" spans="4:5" x14ac:dyDescent="0.2">
      <c r="D147" s="148"/>
      <c r="E147" s="154"/>
    </row>
    <row r="148" spans="4:5" x14ac:dyDescent="0.2">
      <c r="D148" s="148"/>
      <c r="E148" s="154"/>
    </row>
    <row r="149" spans="4:5" x14ac:dyDescent="0.2">
      <c r="D149" s="148"/>
      <c r="E149" s="154"/>
    </row>
    <row r="150" spans="4:5" x14ac:dyDescent="0.2">
      <c r="D150" s="148"/>
      <c r="E150" s="154"/>
    </row>
    <row r="151" spans="4:5" x14ac:dyDescent="0.2">
      <c r="D151" s="148"/>
      <c r="E151" s="154"/>
    </row>
    <row r="152" spans="4:5" x14ac:dyDescent="0.2">
      <c r="D152" s="148"/>
      <c r="E152" s="154"/>
    </row>
    <row r="153" spans="4:5" x14ac:dyDescent="0.2">
      <c r="D153" s="148"/>
      <c r="E153" s="154"/>
    </row>
    <row r="154" spans="4:5" x14ac:dyDescent="0.2">
      <c r="D154" s="148"/>
      <c r="E154" s="154"/>
    </row>
    <row r="155" spans="4:5" x14ac:dyDescent="0.2">
      <c r="D155" s="148"/>
      <c r="E155" s="154"/>
    </row>
    <row r="156" spans="4:5" x14ac:dyDescent="0.2">
      <c r="D156" s="148"/>
      <c r="E156" s="154"/>
    </row>
    <row r="157" spans="4:5" x14ac:dyDescent="0.2">
      <c r="D157" s="148"/>
      <c r="E157" s="154"/>
    </row>
    <row r="158" spans="4:5" x14ac:dyDescent="0.2">
      <c r="D158" s="148"/>
      <c r="E158" s="154"/>
    </row>
    <row r="159" spans="4:5" x14ac:dyDescent="0.2">
      <c r="D159" s="148"/>
      <c r="E159" s="154"/>
    </row>
    <row r="160" spans="4:5" x14ac:dyDescent="0.2">
      <c r="D160" s="148"/>
      <c r="E160" s="154"/>
    </row>
    <row r="161" spans="4:5" x14ac:dyDescent="0.2">
      <c r="D161" s="148"/>
      <c r="E161" s="154"/>
    </row>
    <row r="162" spans="4:5" x14ac:dyDescent="0.2">
      <c r="D162" s="148"/>
      <c r="E162" s="154"/>
    </row>
    <row r="163" spans="4:5" x14ac:dyDescent="0.2">
      <c r="D163" s="148"/>
      <c r="E163" s="154"/>
    </row>
    <row r="164" spans="4:5" x14ac:dyDescent="0.2">
      <c r="D164" s="148"/>
      <c r="E164" s="154"/>
    </row>
    <row r="165" spans="4:5" x14ac:dyDescent="0.2">
      <c r="D165" s="148"/>
      <c r="E165" s="154"/>
    </row>
    <row r="166" spans="4:5" x14ac:dyDescent="0.2">
      <c r="D166" s="148"/>
      <c r="E166" s="154"/>
    </row>
    <row r="167" spans="4:5" x14ac:dyDescent="0.2">
      <c r="D167" s="148"/>
      <c r="E167" s="154"/>
    </row>
    <row r="168" spans="4:5" x14ac:dyDescent="0.2">
      <c r="D168" s="148"/>
      <c r="E168" s="154"/>
    </row>
    <row r="169" spans="4:5" x14ac:dyDescent="0.2">
      <c r="D169" s="148"/>
      <c r="E169" s="154"/>
    </row>
    <row r="170" spans="4:5" x14ac:dyDescent="0.2">
      <c r="D170" s="148"/>
      <c r="E170" s="154"/>
    </row>
    <row r="171" spans="4:5" x14ac:dyDescent="0.2">
      <c r="D171" s="148"/>
      <c r="E171" s="154"/>
    </row>
    <row r="172" spans="4:5" x14ac:dyDescent="0.2">
      <c r="D172" s="148"/>
      <c r="E172" s="154"/>
    </row>
    <row r="173" spans="4:5" x14ac:dyDescent="0.2">
      <c r="D173" s="148"/>
      <c r="E173" s="154"/>
    </row>
    <row r="174" spans="4:5" x14ac:dyDescent="0.2">
      <c r="D174" s="148"/>
      <c r="E174" s="154"/>
    </row>
    <row r="175" spans="4:5" x14ac:dyDescent="0.2">
      <c r="D175" s="148"/>
      <c r="E175" s="154"/>
    </row>
    <row r="176" spans="4:5" x14ac:dyDescent="0.2">
      <c r="D176" s="148"/>
      <c r="E176" s="154"/>
    </row>
    <row r="177" spans="4:5" x14ac:dyDescent="0.2">
      <c r="D177" s="148"/>
      <c r="E177" s="154"/>
    </row>
    <row r="178" spans="4:5" x14ac:dyDescent="0.2">
      <c r="D178" s="148"/>
      <c r="E178" s="154"/>
    </row>
    <row r="179" spans="4:5" x14ac:dyDescent="0.2">
      <c r="D179" s="148"/>
      <c r="E179" s="154"/>
    </row>
    <row r="180" spans="4:5" x14ac:dyDescent="0.2">
      <c r="D180" s="148"/>
      <c r="E180" s="154"/>
    </row>
    <row r="181" spans="4:5" x14ac:dyDescent="0.2">
      <c r="D181" s="148"/>
      <c r="E181" s="154"/>
    </row>
    <row r="182" spans="4:5" x14ac:dyDescent="0.2">
      <c r="D182" s="148"/>
      <c r="E182" s="154"/>
    </row>
    <row r="183" spans="4:5" x14ac:dyDescent="0.2">
      <c r="D183" s="148"/>
      <c r="E183" s="154"/>
    </row>
    <row r="184" spans="4:5" x14ac:dyDescent="0.2">
      <c r="D184" s="148"/>
      <c r="E184" s="154"/>
    </row>
    <row r="185" spans="4:5" x14ac:dyDescent="0.2">
      <c r="D185" s="148"/>
      <c r="E185" s="154"/>
    </row>
    <row r="186" spans="4:5" x14ac:dyDescent="0.2">
      <c r="D186" s="148"/>
      <c r="E186" s="154"/>
    </row>
    <row r="187" spans="4:5" x14ac:dyDescent="0.2">
      <c r="D187" s="148"/>
      <c r="E187" s="154"/>
    </row>
    <row r="188" spans="4:5" x14ac:dyDescent="0.2">
      <c r="D188" s="148"/>
      <c r="E188" s="154"/>
    </row>
    <row r="189" spans="4:5" x14ac:dyDescent="0.2">
      <c r="D189" s="148"/>
      <c r="E189" s="154"/>
    </row>
    <row r="190" spans="4:5" x14ac:dyDescent="0.2">
      <c r="D190" s="148"/>
      <c r="E190" s="154"/>
    </row>
    <row r="191" spans="4:5" x14ac:dyDescent="0.2">
      <c r="D191" s="148"/>
      <c r="E191" s="154"/>
    </row>
    <row r="192" spans="4:5" x14ac:dyDescent="0.2">
      <c r="D192" s="148"/>
      <c r="E192" s="154"/>
    </row>
    <row r="193" spans="4:5" x14ac:dyDescent="0.2">
      <c r="D193" s="148"/>
      <c r="E193" s="154"/>
    </row>
    <row r="194" spans="4:5" x14ac:dyDescent="0.2">
      <c r="D194" s="148"/>
      <c r="E194" s="154"/>
    </row>
    <row r="195" spans="4:5" x14ac:dyDescent="0.2">
      <c r="D195" s="148"/>
      <c r="E195" s="154"/>
    </row>
    <row r="196" spans="4:5" x14ac:dyDescent="0.2">
      <c r="D196" s="148"/>
      <c r="E196" s="154"/>
    </row>
    <row r="197" spans="4:5" x14ac:dyDescent="0.2">
      <c r="D197" s="148"/>
      <c r="E197" s="154"/>
    </row>
    <row r="198" spans="4:5" x14ac:dyDescent="0.2">
      <c r="D198" s="148"/>
      <c r="E198" s="154"/>
    </row>
    <row r="199" spans="4:5" x14ac:dyDescent="0.2">
      <c r="D199" s="148"/>
      <c r="E199" s="154"/>
    </row>
    <row r="200" spans="4:5" x14ac:dyDescent="0.2">
      <c r="D200" s="148"/>
      <c r="E200" s="154"/>
    </row>
    <row r="201" spans="4:5" x14ac:dyDescent="0.2">
      <c r="D201" s="148"/>
      <c r="E201" s="154"/>
    </row>
    <row r="202" spans="4:5" x14ac:dyDescent="0.2">
      <c r="D202" s="148"/>
      <c r="E202" s="154"/>
    </row>
    <row r="203" spans="4:5" x14ac:dyDescent="0.2">
      <c r="D203" s="148"/>
      <c r="E203" s="154"/>
    </row>
    <row r="204" spans="4:5" x14ac:dyDescent="0.2">
      <c r="D204" s="148"/>
      <c r="E204" s="154"/>
    </row>
    <row r="205" spans="4:5" x14ac:dyDescent="0.2">
      <c r="D205" s="148"/>
      <c r="E205" s="154"/>
    </row>
    <row r="206" spans="4:5" x14ac:dyDescent="0.2">
      <c r="D206" s="148"/>
      <c r="E206" s="154"/>
    </row>
    <row r="207" spans="4:5" x14ac:dyDescent="0.2">
      <c r="D207" s="148"/>
      <c r="E207" s="154"/>
    </row>
    <row r="208" spans="4:5" x14ac:dyDescent="0.2">
      <c r="D208" s="148"/>
      <c r="E208" s="154"/>
    </row>
    <row r="209" spans="4:5" x14ac:dyDescent="0.2">
      <c r="D209" s="148"/>
      <c r="E209" s="154"/>
    </row>
    <row r="210" spans="4:5" x14ac:dyDescent="0.2">
      <c r="D210" s="148"/>
      <c r="E210" s="154"/>
    </row>
    <row r="211" spans="4:5" x14ac:dyDescent="0.2">
      <c r="D211" s="148"/>
      <c r="E211" s="154"/>
    </row>
    <row r="212" spans="4:5" x14ac:dyDescent="0.2">
      <c r="D212" s="148"/>
      <c r="E212" s="154"/>
    </row>
    <row r="213" spans="4:5" x14ac:dyDescent="0.2">
      <c r="D213" s="148"/>
      <c r="E213" s="154"/>
    </row>
    <row r="214" spans="4:5" x14ac:dyDescent="0.2">
      <c r="D214" s="148"/>
      <c r="E214" s="154"/>
    </row>
    <row r="215" spans="4:5" x14ac:dyDescent="0.2">
      <c r="D215" s="148"/>
      <c r="E215" s="154"/>
    </row>
    <row r="216" spans="4:5" x14ac:dyDescent="0.2">
      <c r="D216" s="148"/>
      <c r="E216" s="154"/>
    </row>
    <row r="217" spans="4:5" x14ac:dyDescent="0.2">
      <c r="D217" s="148"/>
      <c r="E217" s="154"/>
    </row>
    <row r="218" spans="4:5" x14ac:dyDescent="0.2">
      <c r="D218" s="148"/>
      <c r="E218" s="154"/>
    </row>
    <row r="219" spans="4:5" x14ac:dyDescent="0.2">
      <c r="D219" s="148"/>
      <c r="E219" s="154"/>
    </row>
    <row r="220" spans="4:5" x14ac:dyDescent="0.2">
      <c r="D220" s="148"/>
      <c r="E220" s="154"/>
    </row>
    <row r="221" spans="4:5" x14ac:dyDescent="0.2">
      <c r="D221" s="148"/>
      <c r="E221" s="154"/>
    </row>
    <row r="222" spans="4:5" x14ac:dyDescent="0.2">
      <c r="D222" s="148"/>
      <c r="E222" s="154"/>
    </row>
    <row r="223" spans="4:5" x14ac:dyDescent="0.2">
      <c r="D223" s="148"/>
      <c r="E223" s="154"/>
    </row>
    <row r="224" spans="4:5" x14ac:dyDescent="0.2">
      <c r="D224" s="148"/>
      <c r="E224" s="154"/>
    </row>
    <row r="225" spans="4:5" x14ac:dyDescent="0.2">
      <c r="D225" s="148"/>
      <c r="E225" s="154"/>
    </row>
    <row r="226" spans="4:5" x14ac:dyDescent="0.2">
      <c r="D226" s="148"/>
      <c r="E226" s="154"/>
    </row>
    <row r="227" spans="4:5" x14ac:dyDescent="0.2">
      <c r="D227" s="148"/>
      <c r="E227" s="154"/>
    </row>
    <row r="228" spans="4:5" x14ac:dyDescent="0.2">
      <c r="D228" s="148"/>
      <c r="E228" s="154"/>
    </row>
    <row r="229" spans="4:5" x14ac:dyDescent="0.2">
      <c r="D229" s="148"/>
      <c r="E229" s="154"/>
    </row>
    <row r="230" spans="4:5" x14ac:dyDescent="0.2">
      <c r="D230" s="148"/>
      <c r="E230" s="154"/>
    </row>
    <row r="231" spans="4:5" x14ac:dyDescent="0.2">
      <c r="D231" s="148"/>
      <c r="E231" s="154"/>
    </row>
    <row r="232" spans="4:5" x14ac:dyDescent="0.2">
      <c r="D232" s="148"/>
      <c r="E232" s="154"/>
    </row>
    <row r="233" spans="4:5" x14ac:dyDescent="0.2">
      <c r="D233" s="148"/>
      <c r="E233" s="154"/>
    </row>
    <row r="234" spans="4:5" x14ac:dyDescent="0.2">
      <c r="D234" s="148"/>
      <c r="E234" s="154"/>
    </row>
    <row r="235" spans="4:5" x14ac:dyDescent="0.2">
      <c r="D235" s="148"/>
      <c r="E235" s="154"/>
    </row>
    <row r="236" spans="4:5" x14ac:dyDescent="0.2">
      <c r="D236" s="148"/>
      <c r="E236" s="154"/>
    </row>
    <row r="237" spans="4:5" x14ac:dyDescent="0.2">
      <c r="D237" s="148"/>
      <c r="E237" s="154"/>
    </row>
    <row r="238" spans="4:5" x14ac:dyDescent="0.2">
      <c r="D238" s="148"/>
      <c r="E238" s="154"/>
    </row>
    <row r="239" spans="4:5" x14ac:dyDescent="0.2">
      <c r="D239" s="148"/>
      <c r="E239" s="154"/>
    </row>
    <row r="240" spans="4:5" x14ac:dyDescent="0.2">
      <c r="D240" s="148"/>
      <c r="E240" s="154"/>
    </row>
    <row r="241" spans="4:5" x14ac:dyDescent="0.2">
      <c r="D241" s="148"/>
      <c r="E241" s="154"/>
    </row>
    <row r="242" spans="4:5" x14ac:dyDescent="0.2">
      <c r="D242" s="148"/>
      <c r="E242" s="154"/>
    </row>
    <row r="243" spans="4:5" x14ac:dyDescent="0.2">
      <c r="D243" s="148"/>
      <c r="E243" s="154"/>
    </row>
    <row r="244" spans="4:5" x14ac:dyDescent="0.2">
      <c r="D244" s="148"/>
      <c r="E244" s="154"/>
    </row>
    <row r="245" spans="4:5" x14ac:dyDescent="0.2">
      <c r="D245" s="148"/>
      <c r="E245" s="154"/>
    </row>
    <row r="246" spans="4:5" x14ac:dyDescent="0.2">
      <c r="D246" s="148"/>
      <c r="E246" s="154"/>
    </row>
    <row r="247" spans="4:5" x14ac:dyDescent="0.2">
      <c r="D247" s="148"/>
      <c r="E247" s="154"/>
    </row>
    <row r="248" spans="4:5" x14ac:dyDescent="0.2">
      <c r="D248" s="148"/>
      <c r="E248" s="154"/>
    </row>
    <row r="249" spans="4:5" x14ac:dyDescent="0.2">
      <c r="D249" s="148"/>
      <c r="E249" s="154"/>
    </row>
    <row r="250" spans="4:5" x14ac:dyDescent="0.2">
      <c r="D250" s="148"/>
      <c r="E250" s="154"/>
    </row>
    <row r="251" spans="4:5" x14ac:dyDescent="0.2">
      <c r="D251" s="148"/>
      <c r="E251" s="154"/>
    </row>
    <row r="252" spans="4:5" x14ac:dyDescent="0.2">
      <c r="D252" s="148"/>
      <c r="E252" s="154"/>
    </row>
    <row r="253" spans="4:5" x14ac:dyDescent="0.2">
      <c r="D253" s="148"/>
      <c r="E253" s="154"/>
    </row>
    <row r="254" spans="4:5" x14ac:dyDescent="0.2">
      <c r="D254" s="148"/>
      <c r="E254" s="154"/>
    </row>
    <row r="255" spans="4:5" x14ac:dyDescent="0.2">
      <c r="D255" s="148"/>
      <c r="E255" s="154"/>
    </row>
    <row r="256" spans="4:5" x14ac:dyDescent="0.2">
      <c r="D256" s="148"/>
      <c r="E256" s="154"/>
    </row>
    <row r="257" spans="4:5" x14ac:dyDescent="0.2">
      <c r="D257" s="148"/>
      <c r="E257" s="154"/>
    </row>
    <row r="258" spans="4:5" x14ac:dyDescent="0.2">
      <c r="D258" s="148"/>
      <c r="E258" s="154"/>
    </row>
    <row r="259" spans="4:5" x14ac:dyDescent="0.2">
      <c r="D259" s="148"/>
      <c r="E259" s="154"/>
    </row>
    <row r="260" spans="4:5" x14ac:dyDescent="0.2">
      <c r="D260" s="148"/>
      <c r="E260" s="154"/>
    </row>
    <row r="261" spans="4:5" x14ac:dyDescent="0.2">
      <c r="D261" s="148"/>
      <c r="E261" s="154"/>
    </row>
    <row r="262" spans="4:5" x14ac:dyDescent="0.2">
      <c r="D262" s="148"/>
      <c r="E262" s="154"/>
    </row>
    <row r="263" spans="4:5" x14ac:dyDescent="0.2">
      <c r="D263" s="148"/>
      <c r="E263" s="154"/>
    </row>
    <row r="264" spans="4:5" x14ac:dyDescent="0.2">
      <c r="D264" s="148"/>
      <c r="E264" s="154"/>
    </row>
    <row r="265" spans="4:5" x14ac:dyDescent="0.2">
      <c r="D265" s="148"/>
      <c r="E265" s="154"/>
    </row>
    <row r="266" spans="4:5" x14ac:dyDescent="0.2">
      <c r="D266" s="148"/>
      <c r="E266" s="154"/>
    </row>
    <row r="267" spans="4:5" x14ac:dyDescent="0.2">
      <c r="D267" s="148"/>
      <c r="E267" s="154"/>
    </row>
    <row r="268" spans="4:5" x14ac:dyDescent="0.2">
      <c r="D268" s="148"/>
      <c r="E268" s="154"/>
    </row>
    <row r="269" spans="4:5" x14ac:dyDescent="0.2">
      <c r="D269" s="148"/>
      <c r="E269" s="154"/>
    </row>
    <row r="270" spans="4:5" x14ac:dyDescent="0.2">
      <c r="D270" s="148"/>
      <c r="E270" s="154"/>
    </row>
    <row r="271" spans="4:5" x14ac:dyDescent="0.2">
      <c r="D271" s="148"/>
      <c r="E271" s="154"/>
    </row>
    <row r="272" spans="4:5" x14ac:dyDescent="0.2">
      <c r="D272" s="148"/>
      <c r="E272" s="154"/>
    </row>
    <row r="273" spans="4:5" x14ac:dyDescent="0.2">
      <c r="D273" s="148"/>
      <c r="E273" s="154"/>
    </row>
    <row r="274" spans="4:5" x14ac:dyDescent="0.2">
      <c r="D274" s="148"/>
      <c r="E274" s="154"/>
    </row>
    <row r="275" spans="4:5" x14ac:dyDescent="0.2">
      <c r="D275" s="148"/>
      <c r="E275" s="154"/>
    </row>
    <row r="276" spans="4:5" x14ac:dyDescent="0.2">
      <c r="D276" s="148"/>
      <c r="E276" s="154"/>
    </row>
    <row r="277" spans="4:5" x14ac:dyDescent="0.2">
      <c r="D277" s="148"/>
      <c r="E277" s="154"/>
    </row>
    <row r="278" spans="4:5" x14ac:dyDescent="0.2">
      <c r="D278" s="148"/>
      <c r="E278" s="154"/>
    </row>
    <row r="279" spans="4:5" x14ac:dyDescent="0.2">
      <c r="D279" s="148"/>
      <c r="E279" s="154"/>
    </row>
    <row r="280" spans="4:5" x14ac:dyDescent="0.2">
      <c r="D280" s="148"/>
      <c r="E280" s="154"/>
    </row>
    <row r="281" spans="4:5" x14ac:dyDescent="0.2">
      <c r="D281" s="148"/>
      <c r="E281" s="154"/>
    </row>
    <row r="282" spans="4:5" x14ac:dyDescent="0.2">
      <c r="D282" s="148"/>
      <c r="E282" s="154"/>
    </row>
    <row r="283" spans="4:5" x14ac:dyDescent="0.2">
      <c r="D283" s="148"/>
      <c r="E283" s="154"/>
    </row>
    <row r="284" spans="4:5" x14ac:dyDescent="0.2">
      <c r="D284" s="148"/>
      <c r="E284" s="154"/>
    </row>
    <row r="285" spans="4:5" x14ac:dyDescent="0.2">
      <c r="D285" s="148"/>
      <c r="E285" s="154"/>
    </row>
    <row r="286" spans="4:5" x14ac:dyDescent="0.2">
      <c r="D286" s="148"/>
      <c r="E286" s="154"/>
    </row>
    <row r="287" spans="4:5" x14ac:dyDescent="0.2">
      <c r="D287" s="148"/>
      <c r="E287" s="154"/>
    </row>
    <row r="288" spans="4:5" x14ac:dyDescent="0.2">
      <c r="D288" s="148"/>
      <c r="E288" s="154"/>
    </row>
    <row r="289" spans="4:5" x14ac:dyDescent="0.2">
      <c r="D289" s="148"/>
      <c r="E289" s="154"/>
    </row>
    <row r="290" spans="4:5" x14ac:dyDescent="0.2">
      <c r="D290" s="148"/>
      <c r="E290" s="154"/>
    </row>
    <row r="291" spans="4:5" x14ac:dyDescent="0.2">
      <c r="D291" s="148"/>
      <c r="E291" s="154"/>
    </row>
    <row r="292" spans="4:5" x14ac:dyDescent="0.2">
      <c r="D292" s="148"/>
      <c r="E292" s="154"/>
    </row>
    <row r="293" spans="4:5" x14ac:dyDescent="0.2">
      <c r="D293" s="148"/>
      <c r="E293" s="154"/>
    </row>
    <row r="294" spans="4:5" x14ac:dyDescent="0.2">
      <c r="D294" s="148"/>
      <c r="E294" s="154"/>
    </row>
    <row r="295" spans="4:5" x14ac:dyDescent="0.2">
      <c r="D295" s="148"/>
      <c r="E295" s="154"/>
    </row>
    <row r="296" spans="4:5" x14ac:dyDescent="0.2">
      <c r="D296" s="148"/>
      <c r="E296" s="154"/>
    </row>
    <row r="297" spans="4:5" x14ac:dyDescent="0.2">
      <c r="D297" s="148"/>
      <c r="E297" s="154"/>
    </row>
    <row r="298" spans="4:5" x14ac:dyDescent="0.2">
      <c r="D298" s="148"/>
      <c r="E298" s="154"/>
    </row>
    <row r="299" spans="4:5" x14ac:dyDescent="0.2">
      <c r="D299" s="148"/>
      <c r="E299" s="154"/>
    </row>
    <row r="300" spans="4:5" x14ac:dyDescent="0.2">
      <c r="D300" s="148"/>
      <c r="E300" s="154"/>
    </row>
    <row r="301" spans="4:5" x14ac:dyDescent="0.2">
      <c r="D301" s="148"/>
      <c r="E301" s="154"/>
    </row>
    <row r="302" spans="4:5" x14ac:dyDescent="0.2">
      <c r="D302" s="148"/>
      <c r="E302" s="154"/>
    </row>
    <row r="303" spans="4:5" x14ac:dyDescent="0.2">
      <c r="D303" s="148"/>
      <c r="E303" s="154"/>
    </row>
    <row r="304" spans="4:5" x14ac:dyDescent="0.2">
      <c r="D304" s="148"/>
      <c r="E304" s="154"/>
    </row>
    <row r="305" spans="4:5" x14ac:dyDescent="0.2">
      <c r="D305" s="148"/>
      <c r="E305" s="154"/>
    </row>
    <row r="306" spans="4:5" x14ac:dyDescent="0.2">
      <c r="D306" s="148"/>
      <c r="E306" s="154"/>
    </row>
    <row r="307" spans="4:5" x14ac:dyDescent="0.2">
      <c r="D307" s="148"/>
      <c r="E307" s="154"/>
    </row>
    <row r="308" spans="4:5" x14ac:dyDescent="0.2">
      <c r="D308" s="148"/>
      <c r="E308" s="154"/>
    </row>
    <row r="309" spans="4:5" x14ac:dyDescent="0.2">
      <c r="D309" s="148"/>
      <c r="E309" s="154"/>
    </row>
    <row r="310" spans="4:5" x14ac:dyDescent="0.2">
      <c r="D310" s="148"/>
      <c r="E310" s="154"/>
    </row>
    <row r="311" spans="4:5" x14ac:dyDescent="0.2">
      <c r="D311" s="148"/>
      <c r="E311" s="154"/>
    </row>
    <row r="312" spans="4:5" x14ac:dyDescent="0.2">
      <c r="D312" s="148"/>
      <c r="E312" s="154"/>
    </row>
    <row r="313" spans="4:5" x14ac:dyDescent="0.2">
      <c r="D313" s="148"/>
      <c r="E313" s="154"/>
    </row>
    <row r="314" spans="4:5" x14ac:dyDescent="0.2">
      <c r="D314" s="148"/>
      <c r="E314" s="154"/>
    </row>
    <row r="315" spans="4:5" x14ac:dyDescent="0.2">
      <c r="D315" s="148"/>
      <c r="E315" s="154"/>
    </row>
    <row r="316" spans="4:5" x14ac:dyDescent="0.2">
      <c r="D316" s="148"/>
      <c r="E316" s="154"/>
    </row>
    <row r="317" spans="4:5" x14ac:dyDescent="0.2">
      <c r="D317" s="148"/>
      <c r="E317" s="154"/>
    </row>
    <row r="318" spans="4:5" x14ac:dyDescent="0.2">
      <c r="D318" s="148"/>
      <c r="E318" s="154"/>
    </row>
    <row r="319" spans="4:5" x14ac:dyDescent="0.2">
      <c r="D319" s="148"/>
      <c r="E319" s="154"/>
    </row>
    <row r="320" spans="4:5" x14ac:dyDescent="0.2">
      <c r="D320" s="148"/>
      <c r="E320" s="154"/>
    </row>
    <row r="321" spans="4:5" x14ac:dyDescent="0.2">
      <c r="D321" s="148"/>
      <c r="E321" s="154"/>
    </row>
    <row r="322" spans="4:5" x14ac:dyDescent="0.2">
      <c r="D322" s="148"/>
      <c r="E322" s="154"/>
    </row>
    <row r="323" spans="4:5" x14ac:dyDescent="0.2">
      <c r="D323" s="148"/>
      <c r="E323" s="154"/>
    </row>
    <row r="324" spans="4:5" x14ac:dyDescent="0.2">
      <c r="D324" s="148"/>
      <c r="E324" s="154"/>
    </row>
    <row r="325" spans="4:5" x14ac:dyDescent="0.2">
      <c r="D325" s="148"/>
      <c r="E325" s="154"/>
    </row>
    <row r="326" spans="4:5" x14ac:dyDescent="0.2">
      <c r="D326" s="148"/>
      <c r="E326" s="154"/>
    </row>
    <row r="327" spans="4:5" x14ac:dyDescent="0.2">
      <c r="D327" s="148"/>
      <c r="E327" s="154"/>
    </row>
    <row r="328" spans="4:5" x14ac:dyDescent="0.2">
      <c r="D328" s="148"/>
      <c r="E328" s="154"/>
    </row>
    <row r="329" spans="4:5" x14ac:dyDescent="0.2">
      <c r="D329" s="148"/>
      <c r="E329" s="154"/>
    </row>
    <row r="330" spans="4:5" x14ac:dyDescent="0.2">
      <c r="D330" s="148"/>
      <c r="E330" s="154"/>
    </row>
    <row r="331" spans="4:5" x14ac:dyDescent="0.2">
      <c r="D331" s="148"/>
      <c r="E331" s="154"/>
    </row>
    <row r="332" spans="4:5" x14ac:dyDescent="0.2">
      <c r="D332" s="148"/>
      <c r="E332" s="154"/>
    </row>
    <row r="333" spans="4:5" x14ac:dyDescent="0.2">
      <c r="D333" s="148"/>
      <c r="E333" s="154"/>
    </row>
    <row r="334" spans="4:5" x14ac:dyDescent="0.2">
      <c r="D334" s="148"/>
      <c r="E334" s="154"/>
    </row>
    <row r="335" spans="4:5" x14ac:dyDescent="0.2">
      <c r="D335" s="148"/>
      <c r="E335" s="154"/>
    </row>
    <row r="336" spans="4:5" x14ac:dyDescent="0.2">
      <c r="D336" s="148"/>
      <c r="E336" s="154"/>
    </row>
    <row r="337" spans="4:5" x14ac:dyDescent="0.2">
      <c r="D337" s="148"/>
      <c r="E337" s="154"/>
    </row>
    <row r="338" spans="4:5" x14ac:dyDescent="0.2">
      <c r="D338" s="148"/>
      <c r="E338" s="154"/>
    </row>
    <row r="339" spans="4:5" x14ac:dyDescent="0.2">
      <c r="D339" s="148"/>
      <c r="E339" s="154"/>
    </row>
    <row r="340" spans="4:5" x14ac:dyDescent="0.2">
      <c r="D340" s="148"/>
      <c r="E340" s="154"/>
    </row>
    <row r="341" spans="4:5" x14ac:dyDescent="0.2">
      <c r="D341" s="148"/>
      <c r="E341" s="154"/>
    </row>
    <row r="342" spans="4:5" x14ac:dyDescent="0.2">
      <c r="D342" s="148"/>
      <c r="E342" s="154"/>
    </row>
    <row r="343" spans="4:5" x14ac:dyDescent="0.2">
      <c r="D343" s="148"/>
      <c r="E343" s="154"/>
    </row>
    <row r="344" spans="4:5" x14ac:dyDescent="0.2">
      <c r="D344" s="148"/>
      <c r="E344" s="154"/>
    </row>
    <row r="345" spans="4:5" x14ac:dyDescent="0.2">
      <c r="D345" s="148"/>
      <c r="E345" s="154"/>
    </row>
    <row r="346" spans="4:5" x14ac:dyDescent="0.2">
      <c r="D346" s="148"/>
      <c r="E346" s="154"/>
    </row>
    <row r="347" spans="4:5" x14ac:dyDescent="0.2">
      <c r="D347" s="148"/>
      <c r="E347" s="154"/>
    </row>
    <row r="348" spans="4:5" x14ac:dyDescent="0.2">
      <c r="D348" s="148"/>
      <c r="E348" s="154"/>
    </row>
    <row r="349" spans="4:5" x14ac:dyDescent="0.2">
      <c r="D349" s="148"/>
      <c r="E349" s="154"/>
    </row>
    <row r="350" spans="4:5" x14ac:dyDescent="0.2">
      <c r="D350" s="148"/>
      <c r="E350" s="154"/>
    </row>
    <row r="351" spans="4:5" x14ac:dyDescent="0.2">
      <c r="D351" s="148"/>
      <c r="E351" s="154"/>
    </row>
    <row r="352" spans="4:5" x14ac:dyDescent="0.2">
      <c r="D352" s="148"/>
      <c r="E352" s="154"/>
    </row>
    <row r="353" spans="4:5" x14ac:dyDescent="0.2">
      <c r="D353" s="148"/>
      <c r="E353" s="154"/>
    </row>
    <row r="354" spans="4:5" x14ac:dyDescent="0.2">
      <c r="D354" s="148"/>
      <c r="E354" s="154"/>
    </row>
    <row r="355" spans="4:5" x14ac:dyDescent="0.2">
      <c r="D355" s="148"/>
      <c r="E355" s="154"/>
    </row>
    <row r="356" spans="4:5" x14ac:dyDescent="0.2">
      <c r="D356" s="148"/>
      <c r="E356" s="154"/>
    </row>
    <row r="357" spans="4:5" x14ac:dyDescent="0.2">
      <c r="D357" s="148"/>
      <c r="E357" s="154"/>
    </row>
    <row r="358" spans="4:5" x14ac:dyDescent="0.2">
      <c r="D358" s="148"/>
      <c r="E358" s="154"/>
    </row>
    <row r="359" spans="4:5" x14ac:dyDescent="0.2">
      <c r="D359" s="148"/>
      <c r="E359" s="154"/>
    </row>
    <row r="360" spans="4:5" x14ac:dyDescent="0.2">
      <c r="D360" s="148"/>
      <c r="E360" s="154"/>
    </row>
    <row r="361" spans="4:5" x14ac:dyDescent="0.2">
      <c r="D361" s="148"/>
      <c r="E361" s="154"/>
    </row>
    <row r="362" spans="4:5" x14ac:dyDescent="0.2">
      <c r="D362" s="148"/>
      <c r="E362" s="154"/>
    </row>
    <row r="363" spans="4:5" x14ac:dyDescent="0.2">
      <c r="D363" s="148"/>
      <c r="E363" s="154"/>
    </row>
    <row r="364" spans="4:5" x14ac:dyDescent="0.2">
      <c r="D364" s="148"/>
      <c r="E364" s="154"/>
    </row>
    <row r="365" spans="4:5" x14ac:dyDescent="0.2">
      <c r="D365" s="148"/>
      <c r="E365" s="154"/>
    </row>
    <row r="366" spans="4:5" x14ac:dyDescent="0.2">
      <c r="D366" s="148"/>
      <c r="E366" s="154"/>
    </row>
    <row r="367" spans="4:5" x14ac:dyDescent="0.2">
      <c r="D367" s="148"/>
      <c r="E367" s="154"/>
    </row>
    <row r="368" spans="4:5" x14ac:dyDescent="0.2">
      <c r="D368" s="148"/>
      <c r="E368" s="154"/>
    </row>
    <row r="369" spans="4:5" x14ac:dyDescent="0.2">
      <c r="D369" s="148"/>
      <c r="E369" s="154"/>
    </row>
    <row r="370" spans="4:5" x14ac:dyDescent="0.2">
      <c r="D370" s="148"/>
      <c r="E370" s="154"/>
    </row>
    <row r="371" spans="4:5" x14ac:dyDescent="0.2">
      <c r="D371" s="148"/>
      <c r="E371" s="154"/>
    </row>
    <row r="372" spans="4:5" x14ac:dyDescent="0.2">
      <c r="D372" s="148"/>
      <c r="E372" s="154"/>
    </row>
    <row r="373" spans="4:5" x14ac:dyDescent="0.2">
      <c r="D373" s="148"/>
      <c r="E373" s="154"/>
    </row>
    <row r="374" spans="4:5" x14ac:dyDescent="0.2">
      <c r="D374" s="148"/>
      <c r="E374" s="154"/>
    </row>
    <row r="375" spans="4:5" x14ac:dyDescent="0.2">
      <c r="D375" s="148"/>
      <c r="E375" s="154"/>
    </row>
    <row r="376" spans="4:5" x14ac:dyDescent="0.2">
      <c r="D376" s="148"/>
      <c r="E376" s="154"/>
    </row>
    <row r="377" spans="4:5" x14ac:dyDescent="0.2">
      <c r="D377" s="148"/>
      <c r="E377" s="154"/>
    </row>
    <row r="378" spans="4:5" x14ac:dyDescent="0.2">
      <c r="D378" s="148"/>
      <c r="E378" s="154"/>
    </row>
    <row r="379" spans="4:5" x14ac:dyDescent="0.2">
      <c r="D379" s="148"/>
      <c r="E379" s="154"/>
    </row>
    <row r="380" spans="4:5" x14ac:dyDescent="0.2">
      <c r="D380" s="148"/>
      <c r="E380" s="154"/>
    </row>
    <row r="381" spans="4:5" x14ac:dyDescent="0.2">
      <c r="D381" s="148"/>
      <c r="E381" s="154"/>
    </row>
    <row r="382" spans="4:5" x14ac:dyDescent="0.2">
      <c r="D382" s="148"/>
      <c r="E382" s="154"/>
    </row>
    <row r="383" spans="4:5" x14ac:dyDescent="0.2">
      <c r="D383" s="148"/>
      <c r="E383" s="154"/>
    </row>
    <row r="384" spans="4:5" x14ac:dyDescent="0.2">
      <c r="D384" s="148"/>
      <c r="E384" s="154"/>
    </row>
    <row r="385" spans="4:5" x14ac:dyDescent="0.2">
      <c r="D385" s="148"/>
      <c r="E385" s="154"/>
    </row>
    <row r="386" spans="4:5" x14ac:dyDescent="0.2">
      <c r="D386" s="148"/>
      <c r="E386" s="154"/>
    </row>
    <row r="387" spans="4:5" x14ac:dyDescent="0.2">
      <c r="D387" s="148"/>
      <c r="E387" s="154"/>
    </row>
    <row r="388" spans="4:5" x14ac:dyDescent="0.2">
      <c r="D388" s="148"/>
      <c r="E388" s="154"/>
    </row>
    <row r="389" spans="4:5" x14ac:dyDescent="0.2">
      <c r="D389" s="148"/>
      <c r="E389" s="154"/>
    </row>
    <row r="390" spans="4:5" x14ac:dyDescent="0.2">
      <c r="D390" s="148"/>
      <c r="E390" s="154"/>
    </row>
    <row r="391" spans="4:5" x14ac:dyDescent="0.2">
      <c r="D391" s="148"/>
      <c r="E391" s="154"/>
    </row>
    <row r="392" spans="4:5" x14ac:dyDescent="0.2">
      <c r="D392" s="148"/>
      <c r="E392" s="154"/>
    </row>
    <row r="393" spans="4:5" x14ac:dyDescent="0.2">
      <c r="D393" s="148"/>
      <c r="E393" s="154"/>
    </row>
    <row r="394" spans="4:5" x14ac:dyDescent="0.2">
      <c r="D394" s="148"/>
      <c r="E394" s="154"/>
    </row>
    <row r="395" spans="4:5" x14ac:dyDescent="0.2">
      <c r="D395" s="148"/>
      <c r="E395" s="154"/>
    </row>
    <row r="396" spans="4:5" x14ac:dyDescent="0.2">
      <c r="D396" s="148"/>
      <c r="E396" s="154"/>
    </row>
    <row r="397" spans="4:5" x14ac:dyDescent="0.2">
      <c r="D397" s="148"/>
      <c r="E397" s="154"/>
    </row>
    <row r="398" spans="4:5" x14ac:dyDescent="0.2">
      <c r="D398" s="148"/>
      <c r="E398" s="154"/>
    </row>
    <row r="399" spans="4:5" x14ac:dyDescent="0.2">
      <c r="D399" s="148"/>
      <c r="E399" s="154"/>
    </row>
    <row r="400" spans="4:5" x14ac:dyDescent="0.2">
      <c r="D400" s="148"/>
      <c r="E400" s="154"/>
    </row>
    <row r="401" spans="4:5" x14ac:dyDescent="0.2">
      <c r="D401" s="148"/>
      <c r="E401" s="154"/>
    </row>
    <row r="402" spans="4:5" x14ac:dyDescent="0.2">
      <c r="D402" s="148"/>
      <c r="E402" s="154"/>
    </row>
    <row r="403" spans="4:5" x14ac:dyDescent="0.2">
      <c r="D403" s="148"/>
      <c r="E403" s="154"/>
    </row>
    <row r="404" spans="4:5" x14ac:dyDescent="0.2">
      <c r="D404" s="148"/>
      <c r="E404" s="154"/>
    </row>
    <row r="405" spans="4:5" x14ac:dyDescent="0.2">
      <c r="D405" s="148"/>
      <c r="E405" s="154"/>
    </row>
    <row r="406" spans="4:5" x14ac:dyDescent="0.2">
      <c r="D406" s="148"/>
      <c r="E406" s="154"/>
    </row>
    <row r="407" spans="4:5" x14ac:dyDescent="0.2">
      <c r="D407" s="148"/>
      <c r="E407" s="154"/>
    </row>
    <row r="408" spans="4:5" x14ac:dyDescent="0.2">
      <c r="D408" s="148"/>
      <c r="E408" s="154"/>
    </row>
    <row r="409" spans="4:5" x14ac:dyDescent="0.2">
      <c r="D409" s="148"/>
      <c r="E409" s="154"/>
    </row>
    <row r="410" spans="4:5" x14ac:dyDescent="0.2">
      <c r="D410" s="148"/>
      <c r="E410" s="154"/>
    </row>
    <row r="411" spans="4:5" x14ac:dyDescent="0.2">
      <c r="D411" s="148"/>
      <c r="E411" s="154"/>
    </row>
    <row r="412" spans="4:5" x14ac:dyDescent="0.2">
      <c r="D412" s="148"/>
      <c r="E412" s="154"/>
    </row>
    <row r="413" spans="4:5" x14ac:dyDescent="0.2">
      <c r="D413" s="148"/>
      <c r="E413" s="154"/>
    </row>
    <row r="414" spans="4:5" x14ac:dyDescent="0.2">
      <c r="D414" s="148"/>
      <c r="E414" s="154"/>
    </row>
    <row r="415" spans="4:5" x14ac:dyDescent="0.2">
      <c r="D415" s="148"/>
      <c r="E415" s="154"/>
    </row>
    <row r="416" spans="4:5" x14ac:dyDescent="0.2">
      <c r="D416" s="148"/>
      <c r="E416" s="154"/>
    </row>
    <row r="417" spans="4:5" x14ac:dyDescent="0.2">
      <c r="D417" s="148"/>
      <c r="E417" s="154"/>
    </row>
    <row r="418" spans="4:5" x14ac:dyDescent="0.2">
      <c r="D418" s="148"/>
      <c r="E418" s="154"/>
    </row>
    <row r="419" spans="4:5" x14ac:dyDescent="0.2">
      <c r="D419" s="148"/>
      <c r="E419" s="154"/>
    </row>
    <row r="420" spans="4:5" x14ac:dyDescent="0.2">
      <c r="D420" s="148"/>
      <c r="E420" s="154"/>
    </row>
    <row r="421" spans="4:5" x14ac:dyDescent="0.2">
      <c r="D421" s="148"/>
      <c r="E421" s="154"/>
    </row>
    <row r="422" spans="4:5" x14ac:dyDescent="0.2">
      <c r="D422" s="148"/>
      <c r="E422" s="154"/>
    </row>
    <row r="423" spans="4:5" x14ac:dyDescent="0.2">
      <c r="D423" s="148"/>
      <c r="E423" s="154"/>
    </row>
    <row r="424" spans="4:5" x14ac:dyDescent="0.2">
      <c r="D424" s="148"/>
      <c r="E424" s="154"/>
    </row>
    <row r="425" spans="4:5" x14ac:dyDescent="0.2">
      <c r="D425" s="148"/>
      <c r="E425" s="154"/>
    </row>
    <row r="426" spans="4:5" x14ac:dyDescent="0.2">
      <c r="D426" s="148"/>
      <c r="E426" s="154"/>
    </row>
    <row r="427" spans="4:5" x14ac:dyDescent="0.2">
      <c r="D427" s="148"/>
      <c r="E427" s="154"/>
    </row>
    <row r="428" spans="4:5" x14ac:dyDescent="0.2">
      <c r="D428" s="148"/>
      <c r="E428" s="154"/>
    </row>
    <row r="429" spans="4:5" x14ac:dyDescent="0.2">
      <c r="D429" s="148"/>
      <c r="E429" s="154"/>
    </row>
    <row r="430" spans="4:5" x14ac:dyDescent="0.2">
      <c r="D430" s="148"/>
      <c r="E430" s="154"/>
    </row>
    <row r="431" spans="4:5" x14ac:dyDescent="0.2">
      <c r="D431" s="148"/>
      <c r="E431" s="154"/>
    </row>
    <row r="432" spans="4:5" x14ac:dyDescent="0.2">
      <c r="D432" s="148"/>
      <c r="E432" s="154"/>
    </row>
    <row r="433" spans="4:5" x14ac:dyDescent="0.2">
      <c r="D433" s="148"/>
      <c r="E433" s="154"/>
    </row>
    <row r="434" spans="4:5" x14ac:dyDescent="0.2">
      <c r="D434" s="148"/>
      <c r="E434" s="154"/>
    </row>
    <row r="435" spans="4:5" x14ac:dyDescent="0.2">
      <c r="D435" s="148"/>
      <c r="E435" s="154"/>
    </row>
    <row r="436" spans="4:5" x14ac:dyDescent="0.2">
      <c r="D436" s="148"/>
      <c r="E436" s="154"/>
    </row>
    <row r="437" spans="4:5" x14ac:dyDescent="0.2">
      <c r="D437" s="148"/>
      <c r="E437" s="154"/>
    </row>
    <row r="438" spans="4:5" x14ac:dyDescent="0.2">
      <c r="D438" s="148"/>
      <c r="E438" s="154"/>
    </row>
    <row r="439" spans="4:5" x14ac:dyDescent="0.2">
      <c r="D439" s="148"/>
      <c r="E439" s="154"/>
    </row>
    <row r="440" spans="4:5" x14ac:dyDescent="0.2">
      <c r="D440" s="148"/>
      <c r="E440" s="154"/>
    </row>
    <row r="441" spans="4:5" x14ac:dyDescent="0.2">
      <c r="D441" s="148"/>
      <c r="E441" s="154"/>
    </row>
    <row r="442" spans="4:5" x14ac:dyDescent="0.2">
      <c r="D442" s="148"/>
      <c r="E442" s="154"/>
    </row>
    <row r="443" spans="4:5" x14ac:dyDescent="0.2">
      <c r="D443" s="148"/>
      <c r="E443" s="154"/>
    </row>
    <row r="444" spans="4:5" x14ac:dyDescent="0.2">
      <c r="D444" s="148"/>
      <c r="E444" s="154"/>
    </row>
    <row r="445" spans="4:5" x14ac:dyDescent="0.2">
      <c r="D445" s="148"/>
      <c r="E445" s="154"/>
    </row>
    <row r="446" spans="4:5" x14ac:dyDescent="0.2">
      <c r="D446" s="148"/>
      <c r="E446" s="154"/>
    </row>
    <row r="447" spans="4:5" x14ac:dyDescent="0.2">
      <c r="D447" s="148"/>
      <c r="E447" s="154"/>
    </row>
    <row r="448" spans="4:5" x14ac:dyDescent="0.2">
      <c r="D448" s="148"/>
      <c r="E448" s="154"/>
    </row>
    <row r="449" spans="4:5" x14ac:dyDescent="0.2">
      <c r="D449" s="148"/>
      <c r="E449" s="154"/>
    </row>
    <row r="450" spans="4:5" x14ac:dyDescent="0.2">
      <c r="D450" s="148"/>
      <c r="E450" s="154"/>
    </row>
    <row r="451" spans="4:5" x14ac:dyDescent="0.2">
      <c r="D451" s="148"/>
      <c r="E451" s="154"/>
    </row>
    <row r="452" spans="4:5" x14ac:dyDescent="0.2">
      <c r="D452" s="148"/>
      <c r="E452" s="154"/>
    </row>
    <row r="453" spans="4:5" x14ac:dyDescent="0.2">
      <c r="D453" s="148"/>
      <c r="E453" s="154"/>
    </row>
    <row r="454" spans="4:5" x14ac:dyDescent="0.2">
      <c r="D454" s="148"/>
      <c r="E454" s="154"/>
    </row>
    <row r="455" spans="4:5" x14ac:dyDescent="0.2">
      <c r="D455" s="148"/>
      <c r="E455" s="154"/>
    </row>
    <row r="456" spans="4:5" x14ac:dyDescent="0.2">
      <c r="D456" s="148"/>
      <c r="E456" s="154"/>
    </row>
    <row r="457" spans="4:5" x14ac:dyDescent="0.2">
      <c r="D457" s="148"/>
      <c r="E457" s="154"/>
    </row>
    <row r="458" spans="4:5" x14ac:dyDescent="0.2">
      <c r="D458" s="148"/>
      <c r="E458" s="154"/>
    </row>
    <row r="459" spans="4:5" x14ac:dyDescent="0.2">
      <c r="D459" s="148"/>
      <c r="E459" s="154"/>
    </row>
    <row r="460" spans="4:5" x14ac:dyDescent="0.2">
      <c r="D460" s="148"/>
      <c r="E460" s="154"/>
    </row>
    <row r="461" spans="4:5" x14ac:dyDescent="0.2">
      <c r="D461" s="148"/>
      <c r="E461" s="154"/>
    </row>
    <row r="462" spans="4:5" x14ac:dyDescent="0.2">
      <c r="D462" s="148"/>
      <c r="E462" s="154"/>
    </row>
    <row r="463" spans="4:5" x14ac:dyDescent="0.2">
      <c r="D463" s="148"/>
      <c r="E463" s="154"/>
    </row>
    <row r="464" spans="4:5" x14ac:dyDescent="0.2">
      <c r="D464" s="148"/>
      <c r="E464" s="154"/>
    </row>
    <row r="465" spans="4:5" x14ac:dyDescent="0.2">
      <c r="D465" s="148"/>
      <c r="E465" s="154"/>
    </row>
    <row r="466" spans="4:5" x14ac:dyDescent="0.2">
      <c r="D466" s="148"/>
      <c r="E466" s="154"/>
    </row>
    <row r="467" spans="4:5" x14ac:dyDescent="0.2">
      <c r="D467" s="148"/>
      <c r="E467" s="154"/>
    </row>
    <row r="468" spans="4:5" x14ac:dyDescent="0.2">
      <c r="D468" s="148"/>
      <c r="E468" s="154"/>
    </row>
    <row r="469" spans="4:5" x14ac:dyDescent="0.2">
      <c r="D469" s="148"/>
      <c r="E469" s="154"/>
    </row>
    <row r="470" spans="4:5" x14ac:dyDescent="0.2">
      <c r="D470" s="148"/>
      <c r="E470" s="154"/>
    </row>
    <row r="471" spans="4:5" x14ac:dyDescent="0.2">
      <c r="D471" s="148"/>
      <c r="E471" s="154"/>
    </row>
    <row r="472" spans="4:5" x14ac:dyDescent="0.2">
      <c r="D472" s="148"/>
      <c r="E472" s="154"/>
    </row>
    <row r="473" spans="4:5" x14ac:dyDescent="0.2">
      <c r="D473" s="148"/>
      <c r="E473" s="154"/>
    </row>
    <row r="474" spans="4:5" x14ac:dyDescent="0.2">
      <c r="D474" s="148"/>
      <c r="E474" s="154"/>
    </row>
    <row r="475" spans="4:5" x14ac:dyDescent="0.2">
      <c r="D475" s="148"/>
      <c r="E475" s="154"/>
    </row>
    <row r="476" spans="4:5" x14ac:dyDescent="0.2">
      <c r="D476" s="148"/>
      <c r="E476" s="154"/>
    </row>
    <row r="477" spans="4:5" x14ac:dyDescent="0.2">
      <c r="D477" s="148"/>
      <c r="E477" s="154"/>
    </row>
    <row r="478" spans="4:5" x14ac:dyDescent="0.2">
      <c r="D478" s="148"/>
      <c r="E478" s="154"/>
    </row>
    <row r="479" spans="4:5" x14ac:dyDescent="0.2">
      <c r="D479" s="148"/>
      <c r="E479" s="154"/>
    </row>
    <row r="480" spans="4:5" x14ac:dyDescent="0.2">
      <c r="D480" s="148"/>
      <c r="E480" s="154"/>
    </row>
    <row r="481" spans="4:5" x14ac:dyDescent="0.2">
      <c r="D481" s="148"/>
      <c r="E481" s="154"/>
    </row>
    <row r="482" spans="4:5" x14ac:dyDescent="0.2">
      <c r="D482" s="148"/>
      <c r="E482" s="154"/>
    </row>
    <row r="483" spans="4:5" x14ac:dyDescent="0.2">
      <c r="D483" s="148"/>
      <c r="E483" s="154"/>
    </row>
    <row r="484" spans="4:5" x14ac:dyDescent="0.2">
      <c r="D484" s="148"/>
      <c r="E484" s="154"/>
    </row>
    <row r="485" spans="4:5" x14ac:dyDescent="0.2">
      <c r="D485" s="148"/>
      <c r="E485" s="154"/>
    </row>
    <row r="486" spans="4:5" x14ac:dyDescent="0.2">
      <c r="D486" s="148"/>
      <c r="E486" s="154"/>
    </row>
    <row r="487" spans="4:5" x14ac:dyDescent="0.2">
      <c r="D487" s="148"/>
      <c r="E487" s="154"/>
    </row>
    <row r="488" spans="4:5" x14ac:dyDescent="0.2">
      <c r="D488" s="148"/>
      <c r="E488" s="154"/>
    </row>
    <row r="489" spans="4:5" x14ac:dyDescent="0.2">
      <c r="D489" s="148"/>
      <c r="E489" s="154"/>
    </row>
    <row r="490" spans="4:5" x14ac:dyDescent="0.2">
      <c r="D490" s="148"/>
      <c r="E490" s="154"/>
    </row>
    <row r="491" spans="4:5" x14ac:dyDescent="0.2">
      <c r="D491" s="148"/>
      <c r="E491" s="154"/>
    </row>
    <row r="492" spans="4:5" x14ac:dyDescent="0.2">
      <c r="D492" s="148"/>
      <c r="E492" s="154"/>
    </row>
    <row r="493" spans="4:5" x14ac:dyDescent="0.2">
      <c r="D493" s="148"/>
      <c r="E493" s="154"/>
    </row>
    <row r="494" spans="4:5" x14ac:dyDescent="0.2">
      <c r="D494" s="148"/>
      <c r="E494" s="154"/>
    </row>
    <row r="495" spans="4:5" x14ac:dyDescent="0.2">
      <c r="D495" s="148"/>
      <c r="E495" s="154"/>
    </row>
    <row r="496" spans="4:5" x14ac:dyDescent="0.2">
      <c r="D496" s="148"/>
      <c r="E496" s="154"/>
    </row>
    <row r="497" spans="4:5" x14ac:dyDescent="0.2">
      <c r="D497" s="148"/>
      <c r="E497" s="154"/>
    </row>
    <row r="498" spans="4:5" x14ac:dyDescent="0.2">
      <c r="D498" s="148"/>
      <c r="E498" s="154"/>
    </row>
    <row r="499" spans="4:5" x14ac:dyDescent="0.2">
      <c r="D499" s="148"/>
      <c r="E499" s="154"/>
    </row>
    <row r="500" spans="4:5" x14ac:dyDescent="0.2">
      <c r="D500" s="148"/>
      <c r="E500" s="154"/>
    </row>
    <row r="501" spans="4:5" x14ac:dyDescent="0.2">
      <c r="D501" s="148"/>
      <c r="E501" s="154"/>
    </row>
    <row r="502" spans="4:5" x14ac:dyDescent="0.2">
      <c r="D502" s="148"/>
      <c r="E502" s="154"/>
    </row>
    <row r="503" spans="4:5" x14ac:dyDescent="0.2">
      <c r="D503" s="148"/>
      <c r="E503" s="154"/>
    </row>
    <row r="504" spans="4:5" x14ac:dyDescent="0.2">
      <c r="D504" s="148"/>
      <c r="E504" s="154"/>
    </row>
    <row r="505" spans="4:5" x14ac:dyDescent="0.2">
      <c r="D505" s="148"/>
      <c r="E505" s="154"/>
    </row>
    <row r="506" spans="4:5" x14ac:dyDescent="0.2">
      <c r="D506" s="148"/>
      <c r="E506" s="154"/>
    </row>
    <row r="507" spans="4:5" x14ac:dyDescent="0.2">
      <c r="D507" s="148"/>
      <c r="E507" s="154"/>
    </row>
    <row r="508" spans="4:5" x14ac:dyDescent="0.2">
      <c r="D508" s="148"/>
      <c r="E508" s="154"/>
    </row>
    <row r="509" spans="4:5" x14ac:dyDescent="0.2">
      <c r="D509" s="148"/>
      <c r="E509" s="154"/>
    </row>
    <row r="510" spans="4:5" x14ac:dyDescent="0.2">
      <c r="D510" s="148"/>
      <c r="E510" s="154"/>
    </row>
    <row r="511" spans="4:5" x14ac:dyDescent="0.2">
      <c r="D511" s="148"/>
      <c r="E511" s="154"/>
    </row>
    <row r="512" spans="4:5" x14ac:dyDescent="0.2">
      <c r="D512" s="148"/>
      <c r="E512" s="154"/>
    </row>
    <row r="513" spans="4:5" x14ac:dyDescent="0.2">
      <c r="D513" s="148"/>
      <c r="E513" s="154"/>
    </row>
    <row r="514" spans="4:5" x14ac:dyDescent="0.2">
      <c r="D514" s="148"/>
      <c r="E514" s="154"/>
    </row>
    <row r="515" spans="4:5" x14ac:dyDescent="0.2">
      <c r="D515" s="148"/>
      <c r="E515" s="154"/>
    </row>
    <row r="516" spans="4:5" x14ac:dyDescent="0.2">
      <c r="D516" s="148"/>
      <c r="E516" s="154"/>
    </row>
    <row r="517" spans="4:5" x14ac:dyDescent="0.2">
      <c r="D517" s="148"/>
      <c r="E517" s="154"/>
    </row>
    <row r="518" spans="4:5" x14ac:dyDescent="0.2">
      <c r="D518" s="148"/>
      <c r="E518" s="154"/>
    </row>
    <row r="519" spans="4:5" x14ac:dyDescent="0.2">
      <c r="D519" s="148"/>
      <c r="E519" s="154"/>
    </row>
    <row r="520" spans="4:5" x14ac:dyDescent="0.2">
      <c r="D520" s="148"/>
      <c r="E520" s="154"/>
    </row>
    <row r="521" spans="4:5" x14ac:dyDescent="0.2">
      <c r="D521" s="148"/>
      <c r="E521" s="154"/>
    </row>
    <row r="522" spans="4:5" x14ac:dyDescent="0.2">
      <c r="D522" s="148"/>
      <c r="E522" s="154"/>
    </row>
    <row r="523" spans="4:5" x14ac:dyDescent="0.2">
      <c r="D523" s="148"/>
      <c r="E523" s="154"/>
    </row>
    <row r="524" spans="4:5" x14ac:dyDescent="0.2">
      <c r="D524" s="148"/>
      <c r="E524" s="154"/>
    </row>
    <row r="525" spans="4:5" x14ac:dyDescent="0.2">
      <c r="D525" s="148"/>
      <c r="E525" s="154"/>
    </row>
    <row r="526" spans="4:5" x14ac:dyDescent="0.2">
      <c r="D526" s="148"/>
      <c r="E526" s="154"/>
    </row>
    <row r="527" spans="4:5" x14ac:dyDescent="0.2">
      <c r="D527" s="148"/>
      <c r="E527" s="154"/>
    </row>
    <row r="528" spans="4:5" x14ac:dyDescent="0.2">
      <c r="D528" s="148"/>
      <c r="E528" s="154"/>
    </row>
    <row r="529" spans="4:5" x14ac:dyDescent="0.2">
      <c r="D529" s="148"/>
      <c r="E529" s="154"/>
    </row>
    <row r="530" spans="4:5" x14ac:dyDescent="0.2">
      <c r="D530" s="148"/>
      <c r="E530" s="154"/>
    </row>
    <row r="531" spans="4:5" x14ac:dyDescent="0.2">
      <c r="D531" s="148"/>
      <c r="E531" s="154"/>
    </row>
    <row r="532" spans="4:5" x14ac:dyDescent="0.2">
      <c r="D532" s="148"/>
      <c r="E532" s="154"/>
    </row>
    <row r="533" spans="4:5" x14ac:dyDescent="0.2">
      <c r="D533" s="148"/>
      <c r="E533" s="154"/>
    </row>
    <row r="534" spans="4:5" x14ac:dyDescent="0.2">
      <c r="D534" s="148"/>
      <c r="E534" s="154"/>
    </row>
    <row r="535" spans="4:5" x14ac:dyDescent="0.2">
      <c r="D535" s="148"/>
      <c r="E535" s="154"/>
    </row>
    <row r="536" spans="4:5" x14ac:dyDescent="0.2">
      <c r="D536" s="148"/>
      <c r="E536" s="154"/>
    </row>
    <row r="537" spans="4:5" x14ac:dyDescent="0.2">
      <c r="D537" s="148"/>
      <c r="E537" s="154"/>
    </row>
    <row r="538" spans="4:5" x14ac:dyDescent="0.2">
      <c r="D538" s="148"/>
      <c r="E538" s="154"/>
    </row>
    <row r="539" spans="4:5" x14ac:dyDescent="0.2">
      <c r="D539" s="148"/>
      <c r="E539" s="154"/>
    </row>
    <row r="540" spans="4:5" x14ac:dyDescent="0.2">
      <c r="D540" s="148"/>
      <c r="E540" s="154"/>
    </row>
    <row r="541" spans="4:5" x14ac:dyDescent="0.2">
      <c r="D541" s="148"/>
      <c r="E541" s="154"/>
    </row>
    <row r="542" spans="4:5" x14ac:dyDescent="0.2">
      <c r="D542" s="148"/>
      <c r="E542" s="154"/>
    </row>
    <row r="543" spans="4:5" x14ac:dyDescent="0.2">
      <c r="D543" s="148"/>
      <c r="E543" s="154"/>
    </row>
    <row r="544" spans="4:5" x14ac:dyDescent="0.2">
      <c r="D544" s="148"/>
      <c r="E544" s="154"/>
    </row>
    <row r="545" spans="4:5" x14ac:dyDescent="0.2">
      <c r="D545" s="148"/>
      <c r="E545" s="154"/>
    </row>
    <row r="546" spans="4:5" x14ac:dyDescent="0.2">
      <c r="D546" s="148"/>
      <c r="E546" s="154"/>
    </row>
    <row r="547" spans="4:5" x14ac:dyDescent="0.2">
      <c r="D547" s="148"/>
      <c r="E547" s="154"/>
    </row>
    <row r="548" spans="4:5" x14ac:dyDescent="0.2">
      <c r="D548" s="148"/>
      <c r="E548" s="154"/>
    </row>
    <row r="549" spans="4:5" x14ac:dyDescent="0.2">
      <c r="D549" s="148"/>
      <c r="E549" s="154"/>
    </row>
    <row r="550" spans="4:5" x14ac:dyDescent="0.2">
      <c r="D550" s="148"/>
      <c r="E550" s="154"/>
    </row>
    <row r="551" spans="4:5" x14ac:dyDescent="0.2">
      <c r="D551" s="148"/>
      <c r="E551" s="154"/>
    </row>
    <row r="552" spans="4:5" x14ac:dyDescent="0.2">
      <c r="D552" s="148"/>
      <c r="E552" s="154"/>
    </row>
    <row r="553" spans="4:5" x14ac:dyDescent="0.2">
      <c r="D553" s="148"/>
      <c r="E553" s="154"/>
    </row>
    <row r="554" spans="4:5" x14ac:dyDescent="0.2">
      <c r="D554" s="148"/>
      <c r="E554" s="154"/>
    </row>
    <row r="555" spans="4:5" x14ac:dyDescent="0.2">
      <c r="D555" s="148"/>
      <c r="E555" s="154"/>
    </row>
    <row r="556" spans="4:5" x14ac:dyDescent="0.2">
      <c r="D556" s="148"/>
      <c r="E556" s="154"/>
    </row>
    <row r="557" spans="4:5" x14ac:dyDescent="0.2">
      <c r="D557" s="148"/>
      <c r="E557" s="154"/>
    </row>
    <row r="558" spans="4:5" x14ac:dyDescent="0.2">
      <c r="D558" s="148"/>
      <c r="E558" s="154"/>
    </row>
    <row r="559" spans="4:5" x14ac:dyDescent="0.2">
      <c r="D559" s="148"/>
      <c r="E559" s="154"/>
    </row>
    <row r="560" spans="4:5" x14ac:dyDescent="0.2">
      <c r="D560" s="148"/>
      <c r="E560" s="154"/>
    </row>
    <row r="561" spans="4:5" x14ac:dyDescent="0.2">
      <c r="D561" s="148"/>
      <c r="E561" s="154"/>
    </row>
    <row r="562" spans="4:5" x14ac:dyDescent="0.2">
      <c r="D562" s="148"/>
      <c r="E562" s="154"/>
    </row>
    <row r="563" spans="4:5" x14ac:dyDescent="0.2">
      <c r="D563" s="148"/>
      <c r="E563" s="154"/>
    </row>
    <row r="564" spans="4:5" x14ac:dyDescent="0.2">
      <c r="D564" s="148"/>
      <c r="E564" s="154"/>
    </row>
    <row r="565" spans="4:5" x14ac:dyDescent="0.2">
      <c r="D565" s="148"/>
      <c r="E565" s="154"/>
    </row>
    <row r="566" spans="4:5" x14ac:dyDescent="0.2">
      <c r="D566" s="148"/>
      <c r="E566" s="154"/>
    </row>
    <row r="567" spans="4:5" x14ac:dyDescent="0.2">
      <c r="D567" s="148"/>
      <c r="E567" s="154"/>
    </row>
    <row r="568" spans="4:5" x14ac:dyDescent="0.2">
      <c r="D568" s="148"/>
      <c r="E568" s="154"/>
    </row>
    <row r="569" spans="4:5" x14ac:dyDescent="0.2">
      <c r="D569" s="148"/>
      <c r="E569" s="154"/>
    </row>
    <row r="570" spans="4:5" x14ac:dyDescent="0.2">
      <c r="D570" s="148"/>
      <c r="E570" s="154"/>
    </row>
    <row r="571" spans="4:5" x14ac:dyDescent="0.2">
      <c r="D571" s="148"/>
      <c r="E571" s="154"/>
    </row>
    <row r="572" spans="4:5" x14ac:dyDescent="0.2">
      <c r="D572" s="148"/>
      <c r="E572" s="154"/>
    </row>
    <row r="573" spans="4:5" x14ac:dyDescent="0.2">
      <c r="D573" s="148"/>
      <c r="E573" s="154"/>
    </row>
    <row r="574" spans="4:5" x14ac:dyDescent="0.2">
      <c r="D574" s="148"/>
      <c r="E574" s="154"/>
    </row>
    <row r="575" spans="4:5" x14ac:dyDescent="0.2">
      <c r="D575" s="148"/>
      <c r="E575" s="154"/>
    </row>
    <row r="576" spans="4:5" x14ac:dyDescent="0.2">
      <c r="D576" s="148"/>
      <c r="E576" s="154"/>
    </row>
    <row r="577" spans="4:5" x14ac:dyDescent="0.2">
      <c r="D577" s="148"/>
      <c r="E577" s="154"/>
    </row>
    <row r="578" spans="4:5" x14ac:dyDescent="0.2">
      <c r="D578" s="148"/>
      <c r="E578" s="154"/>
    </row>
    <row r="579" spans="4:5" x14ac:dyDescent="0.2">
      <c r="D579" s="148"/>
      <c r="E579" s="154"/>
    </row>
    <row r="580" spans="4:5" x14ac:dyDescent="0.2">
      <c r="D580" s="148"/>
      <c r="E580" s="154"/>
    </row>
    <row r="581" spans="4:5" x14ac:dyDescent="0.2">
      <c r="D581" s="148"/>
      <c r="E581" s="154"/>
    </row>
    <row r="582" spans="4:5" x14ac:dyDescent="0.2">
      <c r="D582" s="148"/>
      <c r="E582" s="154"/>
    </row>
    <row r="583" spans="4:5" x14ac:dyDescent="0.2">
      <c r="D583" s="148"/>
      <c r="E583" s="154"/>
    </row>
    <row r="584" spans="4:5" x14ac:dyDescent="0.2">
      <c r="D584" s="148"/>
      <c r="E584" s="154"/>
    </row>
    <row r="585" spans="4:5" x14ac:dyDescent="0.2">
      <c r="D585" s="148"/>
      <c r="E585" s="154"/>
    </row>
    <row r="586" spans="4:5" x14ac:dyDescent="0.2">
      <c r="D586" s="148"/>
      <c r="E586" s="154"/>
    </row>
    <row r="587" spans="4:5" x14ac:dyDescent="0.2">
      <c r="D587" s="148"/>
      <c r="E587" s="154"/>
    </row>
    <row r="588" spans="4:5" x14ac:dyDescent="0.2">
      <c r="D588" s="148"/>
      <c r="E588" s="154"/>
    </row>
    <row r="589" spans="4:5" x14ac:dyDescent="0.2">
      <c r="D589" s="148"/>
      <c r="E589" s="154"/>
    </row>
    <row r="590" spans="4:5" x14ac:dyDescent="0.2">
      <c r="D590" s="148"/>
      <c r="E590" s="154"/>
    </row>
    <row r="591" spans="4:5" x14ac:dyDescent="0.2">
      <c r="D591" s="148"/>
      <c r="E591" s="154"/>
    </row>
    <row r="592" spans="4:5" x14ac:dyDescent="0.2">
      <c r="D592" s="148"/>
      <c r="E592" s="154"/>
    </row>
    <row r="593" spans="4:5" x14ac:dyDescent="0.2">
      <c r="D593" s="148"/>
      <c r="E593" s="154"/>
    </row>
    <row r="594" spans="4:5" x14ac:dyDescent="0.2">
      <c r="D594" s="148"/>
      <c r="E594" s="154"/>
    </row>
    <row r="595" spans="4:5" x14ac:dyDescent="0.2">
      <c r="D595" s="148"/>
      <c r="E595" s="154"/>
    </row>
    <row r="596" spans="4:5" x14ac:dyDescent="0.2">
      <c r="D596" s="148"/>
      <c r="E596" s="154"/>
    </row>
    <row r="597" spans="4:5" x14ac:dyDescent="0.2">
      <c r="D597" s="148"/>
      <c r="E597" s="154"/>
    </row>
    <row r="598" spans="4:5" x14ac:dyDescent="0.2">
      <c r="D598" s="148"/>
      <c r="E598" s="154"/>
    </row>
    <row r="599" spans="4:5" x14ac:dyDescent="0.2">
      <c r="D599" s="148"/>
      <c r="E599" s="154"/>
    </row>
    <row r="600" spans="4:5" x14ac:dyDescent="0.2">
      <c r="D600" s="148"/>
      <c r="E600" s="154"/>
    </row>
    <row r="601" spans="4:5" x14ac:dyDescent="0.2">
      <c r="D601" s="148"/>
      <c r="E601" s="154"/>
    </row>
    <row r="602" spans="4:5" x14ac:dyDescent="0.2">
      <c r="D602" s="148"/>
      <c r="E602" s="154"/>
    </row>
    <row r="603" spans="4:5" x14ac:dyDescent="0.2">
      <c r="D603" s="148"/>
      <c r="E603" s="154"/>
    </row>
    <row r="604" spans="4:5" x14ac:dyDescent="0.2">
      <c r="D604" s="148"/>
      <c r="E604" s="154"/>
    </row>
    <row r="605" spans="4:5" x14ac:dyDescent="0.2">
      <c r="D605" s="148"/>
      <c r="E605" s="154"/>
    </row>
    <row r="606" spans="4:5" x14ac:dyDescent="0.2">
      <c r="D606" s="148"/>
      <c r="E606" s="154"/>
    </row>
    <row r="607" spans="4:5" x14ac:dyDescent="0.2">
      <c r="D607" s="148"/>
      <c r="E607" s="154"/>
    </row>
    <row r="608" spans="4:5" x14ac:dyDescent="0.2">
      <c r="D608" s="148"/>
      <c r="E608" s="154"/>
    </row>
    <row r="609" spans="4:5" x14ac:dyDescent="0.2">
      <c r="D609" s="148"/>
      <c r="E609" s="154"/>
    </row>
    <row r="610" spans="4:5" x14ac:dyDescent="0.2">
      <c r="D610" s="148"/>
      <c r="E610" s="154"/>
    </row>
    <row r="611" spans="4:5" x14ac:dyDescent="0.2">
      <c r="D611" s="148"/>
      <c r="E611" s="154"/>
    </row>
    <row r="612" spans="4:5" x14ac:dyDescent="0.2">
      <c r="D612" s="148"/>
      <c r="E612" s="154"/>
    </row>
    <row r="613" spans="4:5" x14ac:dyDescent="0.2">
      <c r="D613" s="148"/>
      <c r="E613" s="154"/>
    </row>
    <row r="614" spans="4:5" x14ac:dyDescent="0.2">
      <c r="D614" s="148"/>
      <c r="E614" s="154"/>
    </row>
    <row r="615" spans="4:5" x14ac:dyDescent="0.2">
      <c r="D615" s="148"/>
      <c r="E615" s="154"/>
    </row>
    <row r="616" spans="4:5" x14ac:dyDescent="0.2">
      <c r="D616" s="148"/>
      <c r="E616" s="154"/>
    </row>
    <row r="617" spans="4:5" x14ac:dyDescent="0.2">
      <c r="D617" s="148"/>
      <c r="E617" s="154"/>
    </row>
    <row r="618" spans="4:5" x14ac:dyDescent="0.2">
      <c r="D618" s="148"/>
      <c r="E618" s="154"/>
    </row>
    <row r="619" spans="4:5" x14ac:dyDescent="0.2">
      <c r="D619" s="148"/>
      <c r="E619" s="154"/>
    </row>
    <row r="620" spans="4:5" x14ac:dyDescent="0.2">
      <c r="D620" s="148"/>
      <c r="E620" s="154"/>
    </row>
    <row r="621" spans="4:5" x14ac:dyDescent="0.2">
      <c r="D621" s="148"/>
      <c r="E621" s="154"/>
    </row>
    <row r="622" spans="4:5" x14ac:dyDescent="0.2">
      <c r="D622" s="148"/>
      <c r="E622" s="154"/>
    </row>
    <row r="623" spans="4:5" x14ac:dyDescent="0.2">
      <c r="D623" s="148"/>
      <c r="E623" s="154"/>
    </row>
    <row r="624" spans="4:5" x14ac:dyDescent="0.2">
      <c r="D624" s="148"/>
      <c r="E624" s="154"/>
    </row>
    <row r="625" spans="4:5" x14ac:dyDescent="0.2">
      <c r="D625" s="148"/>
      <c r="E625" s="154"/>
    </row>
    <row r="626" spans="4:5" x14ac:dyDescent="0.2">
      <c r="D626" s="148"/>
      <c r="E626" s="154"/>
    </row>
    <row r="627" spans="4:5" x14ac:dyDescent="0.2">
      <c r="D627" s="148"/>
      <c r="E627" s="154"/>
    </row>
    <row r="628" spans="4:5" x14ac:dyDescent="0.2">
      <c r="D628" s="148"/>
      <c r="E628" s="154"/>
    </row>
    <row r="629" spans="4:5" x14ac:dyDescent="0.2">
      <c r="D629" s="148"/>
      <c r="E629" s="154"/>
    </row>
    <row r="630" spans="4:5" x14ac:dyDescent="0.2">
      <c r="D630" s="148"/>
      <c r="E630" s="154"/>
    </row>
    <row r="631" spans="4:5" x14ac:dyDescent="0.2">
      <c r="D631" s="148"/>
      <c r="E631" s="154"/>
    </row>
    <row r="632" spans="4:5" x14ac:dyDescent="0.2">
      <c r="D632" s="148"/>
      <c r="E632" s="154"/>
    </row>
    <row r="633" spans="4:5" x14ac:dyDescent="0.2">
      <c r="D633" s="148"/>
      <c r="E633" s="154"/>
    </row>
    <row r="634" spans="4:5" x14ac:dyDescent="0.2">
      <c r="D634" s="148"/>
      <c r="E634" s="154"/>
    </row>
    <row r="635" spans="4:5" x14ac:dyDescent="0.2">
      <c r="D635" s="148"/>
      <c r="E635" s="154"/>
    </row>
    <row r="636" spans="4:5" x14ac:dyDescent="0.2">
      <c r="D636" s="148"/>
      <c r="E636" s="154"/>
    </row>
    <row r="637" spans="4:5" x14ac:dyDescent="0.2">
      <c r="D637" s="148"/>
      <c r="E637" s="154"/>
    </row>
    <row r="638" spans="4:5" x14ac:dyDescent="0.2">
      <c r="D638" s="148"/>
      <c r="E638" s="154"/>
    </row>
    <row r="639" spans="4:5" x14ac:dyDescent="0.2">
      <c r="D639" s="148"/>
      <c r="E639" s="154"/>
    </row>
    <row r="640" spans="4:5" x14ac:dyDescent="0.2">
      <c r="D640" s="148"/>
      <c r="E640" s="154"/>
    </row>
    <row r="641" spans="4:5" x14ac:dyDescent="0.2">
      <c r="D641" s="148"/>
      <c r="E641" s="154"/>
    </row>
    <row r="642" spans="4:5" x14ac:dyDescent="0.2">
      <c r="D642" s="148"/>
      <c r="E642" s="154"/>
    </row>
    <row r="643" spans="4:5" x14ac:dyDescent="0.2">
      <c r="D643" s="148"/>
      <c r="E643" s="154"/>
    </row>
    <row r="644" spans="4:5" x14ac:dyDescent="0.2">
      <c r="D644" s="148"/>
      <c r="E644" s="154"/>
    </row>
    <row r="645" spans="4:5" x14ac:dyDescent="0.2">
      <c r="D645" s="148"/>
      <c r="E645" s="154"/>
    </row>
    <row r="646" spans="4:5" x14ac:dyDescent="0.2">
      <c r="D646" s="148"/>
      <c r="E646" s="154"/>
    </row>
    <row r="647" spans="4:5" x14ac:dyDescent="0.2">
      <c r="D647" s="148"/>
      <c r="E647" s="154"/>
    </row>
    <row r="648" spans="4:5" x14ac:dyDescent="0.2">
      <c r="D648" s="148"/>
      <c r="E648" s="154"/>
    </row>
    <row r="649" spans="4:5" x14ac:dyDescent="0.2">
      <c r="D649" s="148"/>
      <c r="E649" s="154"/>
    </row>
    <row r="650" spans="4:5" x14ac:dyDescent="0.2">
      <c r="D650" s="148"/>
      <c r="E650" s="154"/>
    </row>
    <row r="651" spans="4:5" x14ac:dyDescent="0.2">
      <c r="D651" s="148"/>
      <c r="E651" s="154"/>
    </row>
    <row r="652" spans="4:5" x14ac:dyDescent="0.2">
      <c r="D652" s="148"/>
      <c r="E652" s="154"/>
    </row>
    <row r="653" spans="4:5" x14ac:dyDescent="0.2">
      <c r="D653" s="148"/>
      <c r="E653" s="154"/>
    </row>
    <row r="654" spans="4:5" x14ac:dyDescent="0.2">
      <c r="D654" s="148"/>
      <c r="E654" s="154"/>
    </row>
    <row r="655" spans="4:5" x14ac:dyDescent="0.2">
      <c r="D655" s="148"/>
      <c r="E655" s="154"/>
    </row>
    <row r="656" spans="4:5" x14ac:dyDescent="0.2">
      <c r="D656" s="148"/>
      <c r="E656" s="154"/>
    </row>
    <row r="657" spans="4:5" x14ac:dyDescent="0.2">
      <c r="D657" s="148"/>
      <c r="E657" s="154"/>
    </row>
    <row r="658" spans="4:5" x14ac:dyDescent="0.2">
      <c r="D658" s="148"/>
      <c r="E658" s="154"/>
    </row>
    <row r="659" spans="4:5" x14ac:dyDescent="0.2">
      <c r="D659" s="148"/>
      <c r="E659" s="154"/>
    </row>
    <row r="660" spans="4:5" x14ac:dyDescent="0.2">
      <c r="D660" s="148"/>
      <c r="E660" s="154"/>
    </row>
    <row r="661" spans="4:5" x14ac:dyDescent="0.2">
      <c r="D661" s="148"/>
      <c r="E661" s="154"/>
    </row>
    <row r="662" spans="4:5" x14ac:dyDescent="0.2">
      <c r="D662" s="148"/>
      <c r="E662" s="154"/>
    </row>
    <row r="663" spans="4:5" x14ac:dyDescent="0.2">
      <c r="D663" s="148"/>
      <c r="E663" s="154"/>
    </row>
    <row r="664" spans="4:5" x14ac:dyDescent="0.2">
      <c r="D664" s="148"/>
      <c r="E664" s="154"/>
    </row>
    <row r="665" spans="4:5" x14ac:dyDescent="0.2">
      <c r="D665" s="148"/>
      <c r="E665" s="154"/>
    </row>
    <row r="666" spans="4:5" x14ac:dyDescent="0.2">
      <c r="D666" s="148"/>
      <c r="E666" s="154"/>
    </row>
    <row r="667" spans="4:5" x14ac:dyDescent="0.2">
      <c r="D667" s="148"/>
      <c r="E667" s="154"/>
    </row>
    <row r="668" spans="4:5" x14ac:dyDescent="0.2">
      <c r="D668" s="148"/>
      <c r="E668" s="154"/>
    </row>
    <row r="669" spans="4:5" x14ac:dyDescent="0.2">
      <c r="D669" s="148"/>
      <c r="E669" s="154"/>
    </row>
    <row r="670" spans="4:5" x14ac:dyDescent="0.2">
      <c r="D670" s="148"/>
      <c r="E670" s="154"/>
    </row>
    <row r="671" spans="4:5" x14ac:dyDescent="0.2">
      <c r="D671" s="148"/>
      <c r="E671" s="154"/>
    </row>
    <row r="672" spans="4:5" x14ac:dyDescent="0.2">
      <c r="D672" s="148"/>
      <c r="E672" s="154"/>
    </row>
    <row r="673" spans="4:5" x14ac:dyDescent="0.2">
      <c r="D673" s="148"/>
      <c r="E673" s="154"/>
    </row>
    <row r="674" spans="4:5" x14ac:dyDescent="0.2">
      <c r="D674" s="148"/>
      <c r="E674" s="154"/>
    </row>
    <row r="675" spans="4:5" x14ac:dyDescent="0.2">
      <c r="D675" s="148"/>
      <c r="E675" s="154"/>
    </row>
    <row r="676" spans="4:5" x14ac:dyDescent="0.2">
      <c r="D676" s="148"/>
      <c r="E676" s="154"/>
    </row>
    <row r="677" spans="4:5" x14ac:dyDescent="0.2">
      <c r="D677" s="148"/>
      <c r="E677" s="154"/>
    </row>
    <row r="678" spans="4:5" x14ac:dyDescent="0.2">
      <c r="D678" s="148"/>
      <c r="E678" s="154"/>
    </row>
    <row r="679" spans="4:5" x14ac:dyDescent="0.2">
      <c r="D679" s="148"/>
      <c r="E679" s="154"/>
    </row>
    <row r="680" spans="4:5" x14ac:dyDescent="0.2">
      <c r="D680" s="148"/>
      <c r="E680" s="154"/>
    </row>
    <row r="681" spans="4:5" x14ac:dyDescent="0.2">
      <c r="D681" s="148"/>
      <c r="E681" s="154"/>
    </row>
    <row r="682" spans="4:5" x14ac:dyDescent="0.2">
      <c r="D682" s="148"/>
      <c r="E682" s="154"/>
    </row>
    <row r="683" spans="4:5" x14ac:dyDescent="0.2">
      <c r="D683" s="148"/>
      <c r="E683" s="154"/>
    </row>
    <row r="684" spans="4:5" x14ac:dyDescent="0.2">
      <c r="D684" s="148"/>
      <c r="E684" s="154"/>
    </row>
    <row r="685" spans="4:5" x14ac:dyDescent="0.2">
      <c r="D685" s="148"/>
      <c r="E685" s="154"/>
    </row>
    <row r="686" spans="4:5" x14ac:dyDescent="0.2">
      <c r="D686" s="148"/>
      <c r="E686" s="154"/>
    </row>
    <row r="687" spans="4:5" x14ac:dyDescent="0.2">
      <c r="D687" s="148"/>
      <c r="E687" s="154"/>
    </row>
    <row r="688" spans="4:5" x14ac:dyDescent="0.2">
      <c r="D688" s="148"/>
      <c r="E688" s="154"/>
    </row>
    <row r="689" spans="4:5" x14ac:dyDescent="0.2">
      <c r="D689" s="148"/>
      <c r="E689" s="154"/>
    </row>
    <row r="690" spans="4:5" x14ac:dyDescent="0.2">
      <c r="D690" s="148"/>
      <c r="E690" s="154"/>
    </row>
    <row r="691" spans="4:5" x14ac:dyDescent="0.2">
      <c r="D691" s="148"/>
      <c r="E691" s="154"/>
    </row>
    <row r="692" spans="4:5" x14ac:dyDescent="0.2">
      <c r="D692" s="148"/>
      <c r="E692" s="154"/>
    </row>
    <row r="693" spans="4:5" x14ac:dyDescent="0.2">
      <c r="D693" s="148"/>
      <c r="E693" s="154"/>
    </row>
    <row r="694" spans="4:5" x14ac:dyDescent="0.2">
      <c r="D694" s="148"/>
      <c r="E694" s="154"/>
    </row>
    <row r="695" spans="4:5" x14ac:dyDescent="0.2">
      <c r="D695" s="148"/>
      <c r="E695" s="154"/>
    </row>
    <row r="696" spans="4:5" x14ac:dyDescent="0.2">
      <c r="D696" s="148"/>
      <c r="E696" s="154"/>
    </row>
    <row r="697" spans="4:5" x14ac:dyDescent="0.2">
      <c r="D697" s="148"/>
      <c r="E697" s="154"/>
    </row>
    <row r="698" spans="4:5" x14ac:dyDescent="0.2">
      <c r="D698" s="148"/>
      <c r="E698" s="154"/>
    </row>
    <row r="699" spans="4:5" x14ac:dyDescent="0.2">
      <c r="D699" s="148"/>
      <c r="E699" s="154"/>
    </row>
    <row r="700" spans="4:5" x14ac:dyDescent="0.2">
      <c r="D700" s="148"/>
      <c r="E700" s="154"/>
    </row>
    <row r="701" spans="4:5" x14ac:dyDescent="0.2">
      <c r="D701" s="148"/>
      <c r="E701" s="154"/>
    </row>
    <row r="702" spans="4:5" x14ac:dyDescent="0.2">
      <c r="D702" s="148"/>
      <c r="E702" s="154"/>
    </row>
    <row r="703" spans="4:5" x14ac:dyDescent="0.2">
      <c r="D703" s="148"/>
      <c r="E703" s="154"/>
    </row>
    <row r="704" spans="4:5" x14ac:dyDescent="0.2">
      <c r="D704" s="148"/>
      <c r="E704" s="154"/>
    </row>
    <row r="705" spans="4:5" x14ac:dyDescent="0.2">
      <c r="D705" s="148"/>
      <c r="E705" s="154"/>
    </row>
    <row r="706" spans="4:5" x14ac:dyDescent="0.2">
      <c r="D706" s="148"/>
      <c r="E706" s="154"/>
    </row>
    <row r="707" spans="4:5" x14ac:dyDescent="0.2">
      <c r="D707" s="148"/>
      <c r="E707" s="154"/>
    </row>
    <row r="708" spans="4:5" x14ac:dyDescent="0.2">
      <c r="D708" s="148"/>
      <c r="E708" s="154"/>
    </row>
    <row r="709" spans="4:5" x14ac:dyDescent="0.2">
      <c r="D709" s="148"/>
      <c r="E709" s="154"/>
    </row>
    <row r="710" spans="4:5" x14ac:dyDescent="0.2">
      <c r="D710" s="148"/>
      <c r="E710" s="154"/>
    </row>
    <row r="711" spans="4:5" x14ac:dyDescent="0.2">
      <c r="D711" s="148"/>
      <c r="E711" s="154"/>
    </row>
    <row r="712" spans="4:5" x14ac:dyDescent="0.2">
      <c r="D712" s="148"/>
      <c r="E712" s="154"/>
    </row>
    <row r="713" spans="4:5" x14ac:dyDescent="0.2">
      <c r="D713" s="148"/>
      <c r="E713" s="154"/>
    </row>
    <row r="714" spans="4:5" x14ac:dyDescent="0.2">
      <c r="D714" s="148"/>
      <c r="E714" s="154"/>
    </row>
    <row r="715" spans="4:5" x14ac:dyDescent="0.2">
      <c r="D715" s="148"/>
      <c r="E715" s="154"/>
    </row>
    <row r="716" spans="4:5" x14ac:dyDescent="0.2">
      <c r="D716" s="148"/>
      <c r="E716" s="154"/>
    </row>
    <row r="717" spans="4:5" x14ac:dyDescent="0.2">
      <c r="D717" s="148"/>
      <c r="E717" s="154"/>
    </row>
    <row r="718" spans="4:5" x14ac:dyDescent="0.2">
      <c r="D718" s="148"/>
      <c r="E718" s="154"/>
    </row>
    <row r="719" spans="4:5" x14ac:dyDescent="0.2">
      <c r="D719" s="148"/>
      <c r="E719" s="154"/>
    </row>
    <row r="720" spans="4:5" x14ac:dyDescent="0.2">
      <c r="D720" s="148"/>
      <c r="E720" s="154"/>
    </row>
    <row r="721" spans="4:5" x14ac:dyDescent="0.2">
      <c r="D721" s="148"/>
      <c r="E721" s="154"/>
    </row>
    <row r="722" spans="4:5" x14ac:dyDescent="0.2">
      <c r="D722" s="148"/>
      <c r="E722" s="154"/>
    </row>
    <row r="723" spans="4:5" x14ac:dyDescent="0.2">
      <c r="D723" s="148"/>
      <c r="E723" s="154"/>
    </row>
    <row r="724" spans="4:5" x14ac:dyDescent="0.2">
      <c r="D724" s="148"/>
      <c r="E724" s="154"/>
    </row>
    <row r="725" spans="4:5" x14ac:dyDescent="0.2">
      <c r="D725" s="148"/>
      <c r="E725" s="154"/>
    </row>
    <row r="726" spans="4:5" x14ac:dyDescent="0.2">
      <c r="D726" s="148"/>
      <c r="E726" s="154"/>
    </row>
    <row r="727" spans="4:5" x14ac:dyDescent="0.2">
      <c r="D727" s="148"/>
      <c r="E727" s="154"/>
    </row>
    <row r="728" spans="4:5" x14ac:dyDescent="0.2">
      <c r="D728" s="148"/>
      <c r="E728" s="154"/>
    </row>
    <row r="729" spans="4:5" x14ac:dyDescent="0.2">
      <c r="D729" s="148"/>
      <c r="E729" s="154"/>
    </row>
    <row r="730" spans="4:5" x14ac:dyDescent="0.2">
      <c r="D730" s="148"/>
      <c r="E730" s="154"/>
    </row>
    <row r="731" spans="4:5" x14ac:dyDescent="0.2">
      <c r="D731" s="148"/>
      <c r="E731" s="154"/>
    </row>
    <row r="732" spans="4:5" x14ac:dyDescent="0.2">
      <c r="D732" s="148"/>
      <c r="E732" s="154"/>
    </row>
    <row r="733" spans="4:5" x14ac:dyDescent="0.2">
      <c r="D733" s="148"/>
      <c r="E733" s="154"/>
    </row>
    <row r="734" spans="4:5" x14ac:dyDescent="0.2">
      <c r="D734" s="148"/>
      <c r="E734" s="154"/>
    </row>
    <row r="735" spans="4:5" x14ac:dyDescent="0.2">
      <c r="D735" s="148"/>
      <c r="E735" s="154"/>
    </row>
    <row r="736" spans="4:5" x14ac:dyDescent="0.2">
      <c r="D736" s="148"/>
      <c r="E736" s="154"/>
    </row>
    <row r="737" spans="4:5" x14ac:dyDescent="0.2">
      <c r="D737" s="148"/>
      <c r="E737" s="154"/>
    </row>
    <row r="738" spans="4:5" x14ac:dyDescent="0.2">
      <c r="D738" s="148"/>
      <c r="E738" s="154"/>
    </row>
    <row r="739" spans="4:5" x14ac:dyDescent="0.2">
      <c r="D739" s="148"/>
      <c r="E739" s="154"/>
    </row>
    <row r="740" spans="4:5" x14ac:dyDescent="0.2">
      <c r="D740" s="148"/>
      <c r="E740" s="154"/>
    </row>
    <row r="741" spans="4:5" x14ac:dyDescent="0.2">
      <c r="D741" s="148"/>
      <c r="E741" s="154"/>
    </row>
    <row r="742" spans="4:5" x14ac:dyDescent="0.2">
      <c r="D742" s="148"/>
      <c r="E742" s="154"/>
    </row>
    <row r="743" spans="4:5" x14ac:dyDescent="0.2">
      <c r="D743" s="148"/>
      <c r="E743" s="154"/>
    </row>
    <row r="744" spans="4:5" x14ac:dyDescent="0.2">
      <c r="D744" s="148"/>
      <c r="E744" s="154"/>
    </row>
    <row r="745" spans="4:5" x14ac:dyDescent="0.2">
      <c r="D745" s="148"/>
      <c r="E745" s="154"/>
    </row>
    <row r="746" spans="4:5" x14ac:dyDescent="0.2">
      <c r="D746" s="148"/>
      <c r="E746" s="154"/>
    </row>
    <row r="747" spans="4:5" x14ac:dyDescent="0.2">
      <c r="D747" s="148"/>
      <c r="E747" s="154"/>
    </row>
    <row r="748" spans="4:5" x14ac:dyDescent="0.2">
      <c r="D748" s="148"/>
      <c r="E748" s="154"/>
    </row>
    <row r="749" spans="4:5" x14ac:dyDescent="0.2">
      <c r="D749" s="148"/>
      <c r="E749" s="154"/>
    </row>
    <row r="750" spans="4:5" x14ac:dyDescent="0.2">
      <c r="D750" s="148"/>
      <c r="E750" s="154"/>
    </row>
    <row r="751" spans="4:5" x14ac:dyDescent="0.2">
      <c r="D751" s="148"/>
      <c r="E751" s="154"/>
    </row>
    <row r="752" spans="4:5" x14ac:dyDescent="0.2">
      <c r="D752" s="148"/>
      <c r="E752" s="154"/>
    </row>
    <row r="753" spans="4:5" x14ac:dyDescent="0.2">
      <c r="D753" s="148"/>
      <c r="E753" s="154"/>
    </row>
    <row r="754" spans="4:5" x14ac:dyDescent="0.2">
      <c r="D754" s="148"/>
      <c r="E754" s="154"/>
    </row>
    <row r="755" spans="4:5" x14ac:dyDescent="0.2">
      <c r="D755" s="148"/>
      <c r="E755" s="154"/>
    </row>
    <row r="756" spans="4:5" x14ac:dyDescent="0.2">
      <c r="D756" s="148"/>
      <c r="E756" s="154"/>
    </row>
    <row r="757" spans="4:5" x14ac:dyDescent="0.2">
      <c r="D757" s="148"/>
      <c r="E757" s="154"/>
    </row>
    <row r="758" spans="4:5" x14ac:dyDescent="0.2">
      <c r="D758" s="148"/>
      <c r="E758" s="154"/>
    </row>
    <row r="759" spans="4:5" x14ac:dyDescent="0.2">
      <c r="D759" s="148"/>
      <c r="E759" s="154"/>
    </row>
    <row r="760" spans="4:5" x14ac:dyDescent="0.2">
      <c r="D760" s="148"/>
      <c r="E760" s="154"/>
    </row>
    <row r="761" spans="4:5" x14ac:dyDescent="0.2">
      <c r="D761" s="148"/>
      <c r="E761" s="154"/>
    </row>
    <row r="762" spans="4:5" x14ac:dyDescent="0.2">
      <c r="D762" s="148"/>
      <c r="E762" s="154"/>
    </row>
    <row r="763" spans="4:5" x14ac:dyDescent="0.2">
      <c r="D763" s="148"/>
      <c r="E763" s="154"/>
    </row>
    <row r="764" spans="4:5" x14ac:dyDescent="0.2">
      <c r="D764" s="148"/>
      <c r="E764" s="154"/>
    </row>
    <row r="765" spans="4:5" x14ac:dyDescent="0.2">
      <c r="D765" s="148"/>
      <c r="E765" s="154"/>
    </row>
    <row r="766" spans="4:5" x14ac:dyDescent="0.2">
      <c r="D766" s="148"/>
      <c r="E766" s="154"/>
    </row>
    <row r="767" spans="4:5" x14ac:dyDescent="0.2">
      <c r="D767" s="148"/>
      <c r="E767" s="154"/>
    </row>
    <row r="768" spans="4:5" x14ac:dyDescent="0.2">
      <c r="D768" s="148"/>
      <c r="E768" s="154"/>
    </row>
    <row r="769" spans="4:5" x14ac:dyDescent="0.2">
      <c r="D769" s="148"/>
      <c r="E769" s="154"/>
    </row>
    <row r="770" spans="4:5" x14ac:dyDescent="0.2">
      <c r="D770" s="148"/>
      <c r="E770" s="154"/>
    </row>
    <row r="771" spans="4:5" x14ac:dyDescent="0.2">
      <c r="D771" s="148"/>
      <c r="E771" s="154"/>
    </row>
    <row r="772" spans="4:5" x14ac:dyDescent="0.2">
      <c r="D772" s="148"/>
      <c r="E772" s="154"/>
    </row>
    <row r="773" spans="4:5" x14ac:dyDescent="0.2">
      <c r="D773" s="148"/>
      <c r="E773" s="154"/>
    </row>
    <row r="774" spans="4:5" x14ac:dyDescent="0.2">
      <c r="D774" s="148"/>
      <c r="E774" s="154"/>
    </row>
    <row r="775" spans="4:5" x14ac:dyDescent="0.2">
      <c r="D775" s="148"/>
      <c r="E775" s="154"/>
    </row>
    <row r="776" spans="4:5" x14ac:dyDescent="0.2">
      <c r="D776" s="148"/>
      <c r="E776" s="154"/>
    </row>
    <row r="777" spans="4:5" x14ac:dyDescent="0.2">
      <c r="D777" s="148"/>
      <c r="E777" s="154"/>
    </row>
    <row r="778" spans="4:5" x14ac:dyDescent="0.2">
      <c r="D778" s="148"/>
      <c r="E778" s="154"/>
    </row>
    <row r="779" spans="4:5" x14ac:dyDescent="0.2">
      <c r="D779" s="148"/>
      <c r="E779" s="154"/>
    </row>
    <row r="780" spans="4:5" x14ac:dyDescent="0.2">
      <c r="D780" s="148"/>
      <c r="E780" s="154"/>
    </row>
    <row r="781" spans="4:5" x14ac:dyDescent="0.2">
      <c r="D781" s="148"/>
      <c r="E781" s="154"/>
    </row>
    <row r="782" spans="4:5" x14ac:dyDescent="0.2">
      <c r="D782" s="148"/>
      <c r="E782" s="154"/>
    </row>
    <row r="783" spans="4:5" x14ac:dyDescent="0.2">
      <c r="D783" s="148"/>
      <c r="E783" s="154"/>
    </row>
    <row r="784" spans="4:5" x14ac:dyDescent="0.2">
      <c r="D784" s="148"/>
      <c r="E784" s="154"/>
    </row>
    <row r="785" spans="4:5" x14ac:dyDescent="0.2">
      <c r="D785" s="148"/>
      <c r="E785" s="154"/>
    </row>
    <row r="786" spans="4:5" x14ac:dyDescent="0.2">
      <c r="D786" s="148"/>
      <c r="E786" s="154"/>
    </row>
    <row r="787" spans="4:5" x14ac:dyDescent="0.2">
      <c r="D787" s="148"/>
      <c r="E787" s="154"/>
    </row>
    <row r="788" spans="4:5" x14ac:dyDescent="0.2">
      <c r="D788" s="148"/>
      <c r="E788" s="154"/>
    </row>
    <row r="789" spans="4:5" x14ac:dyDescent="0.2">
      <c r="D789" s="148"/>
      <c r="E789" s="154"/>
    </row>
    <row r="790" spans="4:5" x14ac:dyDescent="0.2">
      <c r="D790" s="148"/>
      <c r="E790" s="154"/>
    </row>
    <row r="791" spans="4:5" x14ac:dyDescent="0.2">
      <c r="D791" s="148"/>
      <c r="E791" s="154"/>
    </row>
    <row r="792" spans="4:5" x14ac:dyDescent="0.2">
      <c r="D792" s="148"/>
      <c r="E792" s="154"/>
    </row>
    <row r="793" spans="4:5" x14ac:dyDescent="0.2">
      <c r="D793" s="148"/>
      <c r="E793" s="154"/>
    </row>
    <row r="794" spans="4:5" x14ac:dyDescent="0.2">
      <c r="D794" s="148"/>
      <c r="E794" s="154"/>
    </row>
    <row r="795" spans="4:5" x14ac:dyDescent="0.2">
      <c r="D795" s="148"/>
      <c r="E795" s="154"/>
    </row>
    <row r="796" spans="4:5" x14ac:dyDescent="0.2">
      <c r="D796" s="148"/>
      <c r="E796" s="154"/>
    </row>
    <row r="797" spans="4:5" x14ac:dyDescent="0.2">
      <c r="D797" s="148"/>
      <c r="E797" s="154"/>
    </row>
    <row r="798" spans="4:5" x14ac:dyDescent="0.2">
      <c r="D798" s="148"/>
      <c r="E798" s="154"/>
    </row>
    <row r="799" spans="4:5" x14ac:dyDescent="0.2">
      <c r="D799" s="148"/>
      <c r="E799" s="154"/>
    </row>
    <row r="800" spans="4:5" x14ac:dyDescent="0.2">
      <c r="D800" s="148"/>
      <c r="E800" s="154"/>
    </row>
    <row r="801" spans="4:5" x14ac:dyDescent="0.2">
      <c r="D801" s="148"/>
      <c r="E801" s="154"/>
    </row>
    <row r="802" spans="4:5" x14ac:dyDescent="0.2">
      <c r="D802" s="148"/>
      <c r="E802" s="154"/>
    </row>
    <row r="803" spans="4:5" x14ac:dyDescent="0.2">
      <c r="D803" s="148"/>
      <c r="E803" s="154"/>
    </row>
    <row r="804" spans="4:5" x14ac:dyDescent="0.2">
      <c r="D804" s="148"/>
      <c r="E804" s="154"/>
    </row>
    <row r="805" spans="4:5" x14ac:dyDescent="0.2">
      <c r="D805" s="148"/>
      <c r="E805" s="154"/>
    </row>
    <row r="806" spans="4:5" x14ac:dyDescent="0.2">
      <c r="D806" s="148"/>
      <c r="E806" s="154"/>
    </row>
    <row r="807" spans="4:5" x14ac:dyDescent="0.2">
      <c r="D807" s="148"/>
      <c r="E807" s="154"/>
    </row>
    <row r="808" spans="4:5" x14ac:dyDescent="0.2">
      <c r="D808" s="148"/>
      <c r="E808" s="154"/>
    </row>
    <row r="809" spans="4:5" x14ac:dyDescent="0.2">
      <c r="D809" s="148"/>
      <c r="E809" s="154"/>
    </row>
    <row r="810" spans="4:5" x14ac:dyDescent="0.2">
      <c r="D810" s="148"/>
      <c r="E810" s="154"/>
    </row>
    <row r="811" spans="4:5" x14ac:dyDescent="0.2">
      <c r="D811" s="148"/>
      <c r="E811" s="154"/>
    </row>
    <row r="812" spans="4:5" x14ac:dyDescent="0.2">
      <c r="D812" s="148"/>
      <c r="E812" s="154"/>
    </row>
    <row r="813" spans="4:5" x14ac:dyDescent="0.2">
      <c r="D813" s="148"/>
      <c r="E813" s="154"/>
    </row>
    <row r="814" spans="4:5" x14ac:dyDescent="0.2">
      <c r="D814" s="148"/>
      <c r="E814" s="154"/>
    </row>
    <row r="815" spans="4:5" x14ac:dyDescent="0.2">
      <c r="D815" s="148"/>
      <c r="E815" s="154"/>
    </row>
    <row r="816" spans="4:5" x14ac:dyDescent="0.2">
      <c r="D816" s="148"/>
      <c r="E816" s="154"/>
    </row>
    <row r="817" spans="4:5" x14ac:dyDescent="0.2">
      <c r="D817" s="148"/>
      <c r="E817" s="154"/>
    </row>
    <row r="818" spans="4:5" x14ac:dyDescent="0.2">
      <c r="D818" s="148"/>
      <c r="E818" s="154"/>
    </row>
    <row r="819" spans="4:5" x14ac:dyDescent="0.2">
      <c r="D819" s="148"/>
      <c r="E819" s="154"/>
    </row>
    <row r="820" spans="4:5" x14ac:dyDescent="0.2">
      <c r="D820" s="148"/>
      <c r="E820" s="154"/>
    </row>
    <row r="821" spans="4:5" x14ac:dyDescent="0.2">
      <c r="D821" s="148"/>
      <c r="E821" s="154"/>
    </row>
    <row r="822" spans="4:5" x14ac:dyDescent="0.2">
      <c r="D822" s="148"/>
      <c r="E822" s="154"/>
    </row>
    <row r="823" spans="4:5" x14ac:dyDescent="0.2">
      <c r="D823" s="148"/>
      <c r="E823" s="154"/>
    </row>
    <row r="824" spans="4:5" x14ac:dyDescent="0.2">
      <c r="D824" s="148"/>
      <c r="E824" s="154"/>
    </row>
    <row r="825" spans="4:5" x14ac:dyDescent="0.2">
      <c r="D825" s="148"/>
      <c r="E825" s="154"/>
    </row>
    <row r="826" spans="4:5" x14ac:dyDescent="0.2">
      <c r="D826" s="148"/>
      <c r="E826" s="154"/>
    </row>
    <row r="827" spans="4:5" x14ac:dyDescent="0.2">
      <c r="D827" s="148"/>
      <c r="E827" s="154"/>
    </row>
    <row r="828" spans="4:5" x14ac:dyDescent="0.2">
      <c r="D828" s="148"/>
      <c r="E828" s="154"/>
    </row>
    <row r="829" spans="4:5" x14ac:dyDescent="0.2">
      <c r="D829" s="148"/>
      <c r="E829" s="154"/>
    </row>
    <row r="830" spans="4:5" x14ac:dyDescent="0.2">
      <c r="D830" s="148"/>
      <c r="E830" s="154"/>
    </row>
    <row r="831" spans="4:5" x14ac:dyDescent="0.2">
      <c r="D831" s="148"/>
      <c r="E831" s="154"/>
    </row>
    <row r="832" spans="4:5" x14ac:dyDescent="0.2">
      <c r="D832" s="148"/>
      <c r="E832" s="154"/>
    </row>
    <row r="833" spans="4:5" x14ac:dyDescent="0.2">
      <c r="D833" s="148"/>
      <c r="E833" s="154"/>
    </row>
    <row r="834" spans="4:5" x14ac:dyDescent="0.2">
      <c r="D834" s="148"/>
      <c r="E834" s="154"/>
    </row>
    <row r="835" spans="4:5" x14ac:dyDescent="0.2">
      <c r="D835" s="148"/>
      <c r="E835" s="154"/>
    </row>
    <row r="836" spans="4:5" x14ac:dyDescent="0.2">
      <c r="D836" s="148"/>
      <c r="E836" s="154"/>
    </row>
    <row r="837" spans="4:5" x14ac:dyDescent="0.2">
      <c r="D837" s="148"/>
      <c r="E837" s="154"/>
    </row>
    <row r="838" spans="4:5" x14ac:dyDescent="0.2">
      <c r="D838" s="148"/>
      <c r="E838" s="154"/>
    </row>
    <row r="839" spans="4:5" x14ac:dyDescent="0.2">
      <c r="D839" s="148"/>
      <c r="E839" s="154"/>
    </row>
    <row r="840" spans="4:5" x14ac:dyDescent="0.2">
      <c r="D840" s="148"/>
      <c r="E840" s="154"/>
    </row>
    <row r="841" spans="4:5" x14ac:dyDescent="0.2">
      <c r="D841" s="148"/>
      <c r="E841" s="154"/>
    </row>
    <row r="842" spans="4:5" x14ac:dyDescent="0.2">
      <c r="D842" s="148"/>
      <c r="E842" s="154"/>
    </row>
    <row r="843" spans="4:5" x14ac:dyDescent="0.2">
      <c r="D843" s="148"/>
      <c r="E843" s="154"/>
    </row>
    <row r="844" spans="4:5" x14ac:dyDescent="0.2">
      <c r="D844" s="148"/>
      <c r="E844" s="154"/>
    </row>
    <row r="845" spans="4:5" x14ac:dyDescent="0.2">
      <c r="D845" s="148"/>
      <c r="E845" s="154"/>
    </row>
    <row r="846" spans="4:5" x14ac:dyDescent="0.2">
      <c r="D846" s="148"/>
      <c r="E846" s="154"/>
    </row>
    <row r="847" spans="4:5" x14ac:dyDescent="0.2">
      <c r="D847" s="148"/>
      <c r="E847" s="154"/>
    </row>
    <row r="848" spans="4:5" x14ac:dyDescent="0.2">
      <c r="D848" s="148"/>
      <c r="E848" s="154"/>
    </row>
    <row r="849" spans="4:5" x14ac:dyDescent="0.2">
      <c r="D849" s="148"/>
      <c r="E849" s="154"/>
    </row>
    <row r="850" spans="4:5" x14ac:dyDescent="0.2">
      <c r="D850" s="148"/>
      <c r="E850" s="154"/>
    </row>
    <row r="851" spans="4:5" x14ac:dyDescent="0.2">
      <c r="D851" s="148"/>
      <c r="E851" s="154"/>
    </row>
    <row r="852" spans="4:5" x14ac:dyDescent="0.2">
      <c r="D852" s="148"/>
      <c r="E852" s="154"/>
    </row>
    <row r="853" spans="4:5" x14ac:dyDescent="0.2">
      <c r="D853" s="148"/>
      <c r="E853" s="154"/>
    </row>
    <row r="854" spans="4:5" x14ac:dyDescent="0.2">
      <c r="D854" s="148"/>
      <c r="E854" s="154"/>
    </row>
    <row r="855" spans="4:5" x14ac:dyDescent="0.2">
      <c r="D855" s="148"/>
      <c r="E855" s="154"/>
    </row>
    <row r="856" spans="4:5" x14ac:dyDescent="0.2">
      <c r="D856" s="148"/>
      <c r="E856" s="154"/>
    </row>
    <row r="857" spans="4:5" x14ac:dyDescent="0.2">
      <c r="D857" s="148"/>
      <c r="E857" s="154"/>
    </row>
    <row r="858" spans="4:5" x14ac:dyDescent="0.2">
      <c r="D858" s="148"/>
      <c r="E858" s="154"/>
    </row>
    <row r="859" spans="4:5" x14ac:dyDescent="0.2">
      <c r="D859" s="148"/>
      <c r="E859" s="154"/>
    </row>
    <row r="860" spans="4:5" x14ac:dyDescent="0.2">
      <c r="D860" s="148"/>
      <c r="E860" s="154"/>
    </row>
    <row r="861" spans="4:5" x14ac:dyDescent="0.2">
      <c r="D861" s="148"/>
      <c r="E861" s="154"/>
    </row>
    <row r="862" spans="4:5" x14ac:dyDescent="0.2">
      <c r="D862" s="148"/>
      <c r="E862" s="154"/>
    </row>
    <row r="863" spans="4:5" x14ac:dyDescent="0.2">
      <c r="D863" s="148"/>
      <c r="E863" s="154"/>
    </row>
    <row r="864" spans="4:5" x14ac:dyDescent="0.2">
      <c r="D864" s="148"/>
      <c r="E864" s="154"/>
    </row>
    <row r="865" spans="4:5" x14ac:dyDescent="0.2">
      <c r="D865" s="148"/>
      <c r="E865" s="154"/>
    </row>
    <row r="866" spans="4:5" x14ac:dyDescent="0.2">
      <c r="D866" s="148"/>
      <c r="E866" s="154"/>
    </row>
    <row r="867" spans="4:5" x14ac:dyDescent="0.2">
      <c r="D867" s="148"/>
      <c r="E867" s="154"/>
    </row>
    <row r="868" spans="4:5" x14ac:dyDescent="0.2">
      <c r="D868" s="148"/>
      <c r="E868" s="154"/>
    </row>
    <row r="869" spans="4:5" x14ac:dyDescent="0.2">
      <c r="D869" s="148"/>
      <c r="E869" s="154"/>
    </row>
    <row r="870" spans="4:5" x14ac:dyDescent="0.2">
      <c r="D870" s="148"/>
      <c r="E870" s="154"/>
    </row>
    <row r="871" spans="4:5" x14ac:dyDescent="0.2">
      <c r="D871" s="148"/>
      <c r="E871" s="154"/>
    </row>
    <row r="872" spans="4:5" x14ac:dyDescent="0.2">
      <c r="D872" s="148"/>
      <c r="E872" s="154"/>
    </row>
    <row r="873" spans="4:5" x14ac:dyDescent="0.2">
      <c r="D873" s="148"/>
      <c r="E873" s="154"/>
    </row>
    <row r="874" spans="4:5" x14ac:dyDescent="0.2">
      <c r="D874" s="148"/>
      <c r="E874" s="154"/>
    </row>
    <row r="875" spans="4:5" x14ac:dyDescent="0.2">
      <c r="D875" s="148"/>
      <c r="E875" s="154"/>
    </row>
    <row r="876" spans="4:5" x14ac:dyDescent="0.2">
      <c r="D876" s="148"/>
      <c r="E876" s="154"/>
    </row>
    <row r="877" spans="4:5" x14ac:dyDescent="0.2">
      <c r="D877" s="148"/>
      <c r="E877" s="154"/>
    </row>
    <row r="878" spans="4:5" x14ac:dyDescent="0.2">
      <c r="D878" s="148"/>
      <c r="E878" s="154"/>
    </row>
    <row r="879" spans="4:5" x14ac:dyDescent="0.2">
      <c r="D879" s="148"/>
      <c r="E879" s="154"/>
    </row>
    <row r="880" spans="4:5" x14ac:dyDescent="0.2">
      <c r="D880" s="148"/>
      <c r="E880" s="154"/>
    </row>
    <row r="881" spans="4:5" x14ac:dyDescent="0.2">
      <c r="D881" s="148"/>
      <c r="E881" s="154"/>
    </row>
    <row r="882" spans="4:5" x14ac:dyDescent="0.2">
      <c r="D882" s="148"/>
      <c r="E882" s="154"/>
    </row>
    <row r="883" spans="4:5" x14ac:dyDescent="0.2">
      <c r="D883" s="148"/>
      <c r="E883" s="154"/>
    </row>
    <row r="884" spans="4:5" x14ac:dyDescent="0.2">
      <c r="D884" s="148"/>
      <c r="E884" s="154"/>
    </row>
    <row r="885" spans="4:5" x14ac:dyDescent="0.2">
      <c r="D885" s="148"/>
      <c r="E885" s="154"/>
    </row>
    <row r="886" spans="4:5" x14ac:dyDescent="0.2">
      <c r="D886" s="148"/>
      <c r="E886" s="154"/>
    </row>
    <row r="887" spans="4:5" x14ac:dyDescent="0.2">
      <c r="D887" s="148"/>
      <c r="E887" s="154"/>
    </row>
    <row r="888" spans="4:5" x14ac:dyDescent="0.2">
      <c r="D888" s="148"/>
      <c r="E888" s="154"/>
    </row>
    <row r="889" spans="4:5" x14ac:dyDescent="0.2">
      <c r="D889" s="148"/>
      <c r="E889" s="154"/>
    </row>
    <row r="890" spans="4:5" x14ac:dyDescent="0.2">
      <c r="D890" s="148"/>
      <c r="E890" s="154"/>
    </row>
    <row r="891" spans="4:5" x14ac:dyDescent="0.2">
      <c r="D891" s="148"/>
      <c r="E891" s="154"/>
    </row>
    <row r="892" spans="4:5" x14ac:dyDescent="0.2">
      <c r="D892" s="148"/>
      <c r="E892" s="154"/>
    </row>
    <row r="893" spans="4:5" x14ac:dyDescent="0.2">
      <c r="D893" s="148"/>
      <c r="E893" s="154"/>
    </row>
    <row r="894" spans="4:5" x14ac:dyDescent="0.2">
      <c r="D894" s="148"/>
      <c r="E894" s="154"/>
    </row>
    <row r="895" spans="4:5" x14ac:dyDescent="0.2">
      <c r="D895" s="148"/>
      <c r="E895" s="154"/>
    </row>
    <row r="896" spans="4:5" x14ac:dyDescent="0.2">
      <c r="D896" s="148"/>
      <c r="E896" s="154"/>
    </row>
    <row r="897" spans="4:5" x14ac:dyDescent="0.2">
      <c r="D897" s="148"/>
      <c r="E897" s="154"/>
    </row>
    <row r="898" spans="4:5" x14ac:dyDescent="0.2">
      <c r="D898" s="148"/>
      <c r="E898" s="154"/>
    </row>
    <row r="899" spans="4:5" x14ac:dyDescent="0.2">
      <c r="D899" s="148"/>
      <c r="E899" s="154"/>
    </row>
    <row r="900" spans="4:5" x14ac:dyDescent="0.2">
      <c r="D900" s="148"/>
      <c r="E900" s="154"/>
    </row>
    <row r="901" spans="4:5" x14ac:dyDescent="0.2">
      <c r="D901" s="148"/>
      <c r="E901" s="154"/>
    </row>
    <row r="902" spans="4:5" x14ac:dyDescent="0.2">
      <c r="D902" s="148"/>
      <c r="E902" s="154"/>
    </row>
    <row r="903" spans="4:5" x14ac:dyDescent="0.2">
      <c r="D903" s="148"/>
      <c r="E903" s="154"/>
    </row>
    <row r="904" spans="4:5" x14ac:dyDescent="0.2">
      <c r="D904" s="148"/>
      <c r="E904" s="154"/>
    </row>
    <row r="905" spans="4:5" x14ac:dyDescent="0.2">
      <c r="D905" s="148"/>
      <c r="E905" s="154"/>
    </row>
    <row r="906" spans="4:5" x14ac:dyDescent="0.2">
      <c r="D906" s="148"/>
      <c r="E906" s="154"/>
    </row>
    <row r="907" spans="4:5" x14ac:dyDescent="0.2">
      <c r="D907" s="148"/>
      <c r="E907" s="154"/>
    </row>
    <row r="908" spans="4:5" x14ac:dyDescent="0.2">
      <c r="D908" s="148"/>
      <c r="E908" s="154"/>
    </row>
    <row r="909" spans="4:5" x14ac:dyDescent="0.2">
      <c r="D909" s="148"/>
      <c r="E909" s="154"/>
    </row>
    <row r="910" spans="4:5" x14ac:dyDescent="0.2">
      <c r="D910" s="148"/>
      <c r="E910" s="154"/>
    </row>
    <row r="911" spans="4:5" x14ac:dyDescent="0.2">
      <c r="D911" s="148"/>
      <c r="E911" s="154"/>
    </row>
    <row r="912" spans="4:5" x14ac:dyDescent="0.2">
      <c r="D912" s="148"/>
      <c r="E912" s="154"/>
    </row>
    <row r="913" spans="4:5" x14ac:dyDescent="0.2">
      <c r="D913" s="148"/>
      <c r="E913" s="154"/>
    </row>
    <row r="914" spans="4:5" x14ac:dyDescent="0.2">
      <c r="D914" s="148"/>
      <c r="E914" s="154"/>
    </row>
    <row r="915" spans="4:5" x14ac:dyDescent="0.2">
      <c r="D915" s="148"/>
      <c r="E915" s="154"/>
    </row>
    <row r="916" spans="4:5" x14ac:dyDescent="0.2">
      <c r="D916" s="148"/>
      <c r="E916" s="154"/>
    </row>
    <row r="917" spans="4:5" x14ac:dyDescent="0.2">
      <c r="D917" s="148"/>
      <c r="E917" s="154"/>
    </row>
    <row r="918" spans="4:5" x14ac:dyDescent="0.2">
      <c r="D918" s="148"/>
      <c r="E918" s="154"/>
    </row>
    <row r="919" spans="4:5" x14ac:dyDescent="0.2">
      <c r="D919" s="148"/>
      <c r="E919" s="154"/>
    </row>
    <row r="920" spans="4:5" x14ac:dyDescent="0.2">
      <c r="D920" s="148"/>
      <c r="E920" s="154"/>
    </row>
    <row r="921" spans="4:5" x14ac:dyDescent="0.2">
      <c r="D921" s="148"/>
      <c r="E921" s="154"/>
    </row>
    <row r="922" spans="4:5" x14ac:dyDescent="0.2">
      <c r="D922" s="148"/>
      <c r="E922" s="154"/>
    </row>
    <row r="923" spans="4:5" x14ac:dyDescent="0.2">
      <c r="D923" s="148"/>
      <c r="E923" s="154"/>
    </row>
    <row r="924" spans="4:5" x14ac:dyDescent="0.2">
      <c r="D924" s="148"/>
      <c r="E924" s="154"/>
    </row>
    <row r="925" spans="4:5" x14ac:dyDescent="0.2">
      <c r="D925" s="148"/>
      <c r="E925" s="154"/>
    </row>
    <row r="926" spans="4:5" x14ac:dyDescent="0.2">
      <c r="D926" s="148"/>
      <c r="E926" s="154"/>
    </row>
    <row r="927" spans="4:5" x14ac:dyDescent="0.2">
      <c r="D927" s="148"/>
      <c r="E927" s="154"/>
    </row>
    <row r="928" spans="4:5" x14ac:dyDescent="0.2">
      <c r="D928" s="148"/>
      <c r="E928" s="154"/>
    </row>
    <row r="929" spans="4:5" x14ac:dyDescent="0.2">
      <c r="D929" s="148"/>
      <c r="E929" s="154"/>
    </row>
    <row r="930" spans="4:5" x14ac:dyDescent="0.2">
      <c r="D930" s="148"/>
      <c r="E930" s="154"/>
    </row>
    <row r="931" spans="4:5" x14ac:dyDescent="0.2">
      <c r="D931" s="148"/>
      <c r="E931" s="154"/>
    </row>
    <row r="932" spans="4:5" x14ac:dyDescent="0.2">
      <c r="D932" s="148"/>
      <c r="E932" s="154"/>
    </row>
    <row r="933" spans="4:5" x14ac:dyDescent="0.2">
      <c r="D933" s="148"/>
      <c r="E933" s="154"/>
    </row>
    <row r="934" spans="4:5" x14ac:dyDescent="0.2">
      <c r="D934" s="148"/>
      <c r="E934" s="154"/>
    </row>
    <row r="935" spans="4:5" x14ac:dyDescent="0.2">
      <c r="D935" s="148"/>
      <c r="E935" s="154"/>
    </row>
    <row r="936" spans="4:5" x14ac:dyDescent="0.2">
      <c r="D936" s="148"/>
      <c r="E936" s="154"/>
    </row>
    <row r="937" spans="4:5" x14ac:dyDescent="0.2">
      <c r="D937" s="148"/>
      <c r="E937" s="154"/>
    </row>
    <row r="938" spans="4:5" x14ac:dyDescent="0.2">
      <c r="D938" s="148"/>
      <c r="E938" s="154"/>
    </row>
    <row r="939" spans="4:5" x14ac:dyDescent="0.2">
      <c r="D939" s="148"/>
      <c r="E939" s="154"/>
    </row>
    <row r="940" spans="4:5" x14ac:dyDescent="0.2">
      <c r="D940" s="148"/>
      <c r="E940" s="154"/>
    </row>
    <row r="941" spans="4:5" x14ac:dyDescent="0.2">
      <c r="D941" s="148"/>
      <c r="E941" s="154"/>
    </row>
    <row r="942" spans="4:5" x14ac:dyDescent="0.2">
      <c r="D942" s="148"/>
      <c r="E942" s="154"/>
    </row>
    <row r="943" spans="4:5" x14ac:dyDescent="0.2">
      <c r="D943" s="148"/>
      <c r="E943" s="154"/>
    </row>
    <row r="944" spans="4:5" x14ac:dyDescent="0.2">
      <c r="D944" s="148"/>
      <c r="E944" s="154"/>
    </row>
    <row r="945" spans="4:5" x14ac:dyDescent="0.2">
      <c r="D945" s="148"/>
      <c r="E945" s="154"/>
    </row>
    <row r="946" spans="4:5" x14ac:dyDescent="0.2">
      <c r="D946" s="148"/>
      <c r="E946" s="154"/>
    </row>
    <row r="947" spans="4:5" x14ac:dyDescent="0.2">
      <c r="D947" s="148"/>
      <c r="E947" s="154"/>
    </row>
    <row r="948" spans="4:5" x14ac:dyDescent="0.2">
      <c r="D948" s="148"/>
      <c r="E948" s="154"/>
    </row>
    <row r="949" spans="4:5" x14ac:dyDescent="0.2">
      <c r="D949" s="148"/>
      <c r="E949" s="154"/>
    </row>
    <row r="950" spans="4:5" x14ac:dyDescent="0.2">
      <c r="D950" s="148"/>
      <c r="E950" s="154"/>
    </row>
    <row r="951" spans="4:5" x14ac:dyDescent="0.2">
      <c r="D951" s="148"/>
      <c r="E951" s="154"/>
    </row>
    <row r="952" spans="4:5" x14ac:dyDescent="0.2">
      <c r="D952" s="148"/>
      <c r="E952" s="154"/>
    </row>
    <row r="953" spans="4:5" x14ac:dyDescent="0.2">
      <c r="D953" s="148"/>
      <c r="E953" s="154"/>
    </row>
    <row r="954" spans="4:5" x14ac:dyDescent="0.2">
      <c r="D954" s="148"/>
      <c r="E954" s="154"/>
    </row>
    <row r="955" spans="4:5" x14ac:dyDescent="0.2">
      <c r="D955" s="148"/>
      <c r="E955" s="154"/>
    </row>
    <row r="956" spans="4:5" x14ac:dyDescent="0.2">
      <c r="D956" s="148"/>
      <c r="E956" s="154"/>
    </row>
    <row r="957" spans="4:5" x14ac:dyDescent="0.2">
      <c r="D957" s="148"/>
      <c r="E957" s="154"/>
    </row>
    <row r="958" spans="4:5" x14ac:dyDescent="0.2">
      <c r="D958" s="148"/>
      <c r="E958" s="154"/>
    </row>
    <row r="959" spans="4:5" x14ac:dyDescent="0.2">
      <c r="D959" s="148"/>
      <c r="E959" s="154"/>
    </row>
    <row r="960" spans="4:5" x14ac:dyDescent="0.2">
      <c r="D960" s="148"/>
      <c r="E960" s="154"/>
    </row>
    <row r="961" spans="4:5" x14ac:dyDescent="0.2">
      <c r="D961" s="148"/>
      <c r="E961" s="154"/>
    </row>
    <row r="962" spans="4:5" x14ac:dyDescent="0.2">
      <c r="D962" s="148"/>
      <c r="E962" s="154"/>
    </row>
    <row r="963" spans="4:5" x14ac:dyDescent="0.2">
      <c r="D963" s="148"/>
      <c r="E963" s="154"/>
    </row>
    <row r="964" spans="4:5" x14ac:dyDescent="0.2">
      <c r="D964" s="148"/>
      <c r="E964" s="154"/>
    </row>
    <row r="965" spans="4:5" x14ac:dyDescent="0.2">
      <c r="D965" s="148"/>
      <c r="E965" s="154"/>
    </row>
    <row r="966" spans="4:5" x14ac:dyDescent="0.2">
      <c r="D966" s="148"/>
      <c r="E966" s="154"/>
    </row>
    <row r="967" spans="4:5" x14ac:dyDescent="0.2">
      <c r="D967" s="148"/>
      <c r="E967" s="154"/>
    </row>
    <row r="968" spans="4:5" x14ac:dyDescent="0.2">
      <c r="D968" s="148"/>
      <c r="E968" s="154"/>
    </row>
    <row r="969" spans="4:5" x14ac:dyDescent="0.2">
      <c r="D969" s="148"/>
      <c r="E969" s="154"/>
    </row>
    <row r="970" spans="4:5" x14ac:dyDescent="0.2">
      <c r="D970" s="148"/>
      <c r="E970" s="154"/>
    </row>
    <row r="971" spans="4:5" x14ac:dyDescent="0.2">
      <c r="D971" s="148"/>
      <c r="E971" s="154"/>
    </row>
    <row r="972" spans="4:5" x14ac:dyDescent="0.2">
      <c r="D972" s="148"/>
      <c r="E972" s="154"/>
    </row>
    <row r="973" spans="4:5" x14ac:dyDescent="0.2">
      <c r="D973" s="148"/>
      <c r="E973" s="154"/>
    </row>
    <row r="974" spans="4:5" x14ac:dyDescent="0.2">
      <c r="D974" s="148"/>
      <c r="E974" s="154"/>
    </row>
    <row r="975" spans="4:5" x14ac:dyDescent="0.2">
      <c r="D975" s="148"/>
      <c r="E975" s="154"/>
    </row>
    <row r="976" spans="4:5" x14ac:dyDescent="0.2">
      <c r="D976" s="148"/>
      <c r="E976" s="154"/>
    </row>
    <row r="977" spans="4:5" x14ac:dyDescent="0.2">
      <c r="D977" s="148"/>
      <c r="E977" s="154"/>
    </row>
    <row r="978" spans="4:5" x14ac:dyDescent="0.2">
      <c r="D978" s="148"/>
      <c r="E978" s="154"/>
    </row>
    <row r="979" spans="4:5" x14ac:dyDescent="0.2">
      <c r="D979" s="148"/>
      <c r="E979" s="154"/>
    </row>
    <row r="980" spans="4:5" x14ac:dyDescent="0.2">
      <c r="D980" s="148"/>
      <c r="E980" s="154"/>
    </row>
    <row r="981" spans="4:5" x14ac:dyDescent="0.2">
      <c r="D981" s="148"/>
      <c r="E981" s="154"/>
    </row>
    <row r="982" spans="4:5" x14ac:dyDescent="0.2">
      <c r="D982" s="148"/>
      <c r="E982" s="154"/>
    </row>
    <row r="983" spans="4:5" x14ac:dyDescent="0.2">
      <c r="D983" s="148"/>
      <c r="E983" s="154"/>
    </row>
    <row r="984" spans="4:5" x14ac:dyDescent="0.2">
      <c r="D984" s="148"/>
      <c r="E984" s="154"/>
    </row>
    <row r="985" spans="4:5" x14ac:dyDescent="0.2">
      <c r="D985" s="148"/>
      <c r="E985" s="154"/>
    </row>
    <row r="986" spans="4:5" x14ac:dyDescent="0.2">
      <c r="D986" s="148"/>
      <c r="E986" s="154"/>
    </row>
    <row r="987" spans="4:5" x14ac:dyDescent="0.2">
      <c r="D987" s="148"/>
      <c r="E987" s="154"/>
    </row>
    <row r="988" spans="4:5" x14ac:dyDescent="0.2">
      <c r="D988" s="148"/>
      <c r="E988" s="154"/>
    </row>
    <row r="989" spans="4:5" x14ac:dyDescent="0.2">
      <c r="D989" s="148"/>
      <c r="E989" s="154"/>
    </row>
    <row r="990" spans="4:5" x14ac:dyDescent="0.2">
      <c r="D990" s="148"/>
      <c r="E990" s="154"/>
    </row>
    <row r="991" spans="4:5" x14ac:dyDescent="0.2">
      <c r="D991" s="148"/>
      <c r="E991" s="154"/>
    </row>
    <row r="992" spans="4:5" x14ac:dyDescent="0.2">
      <c r="D992" s="148"/>
      <c r="E992" s="154"/>
    </row>
    <row r="993" spans="4:5" x14ac:dyDescent="0.2">
      <c r="D993" s="148"/>
      <c r="E993" s="154"/>
    </row>
    <row r="994" spans="4:5" x14ac:dyDescent="0.2">
      <c r="D994" s="148"/>
      <c r="E994" s="154"/>
    </row>
    <row r="995" spans="4:5" x14ac:dyDescent="0.2">
      <c r="D995" s="148"/>
      <c r="E995" s="154"/>
    </row>
    <row r="996" spans="4:5" x14ac:dyDescent="0.2">
      <c r="D996" s="148"/>
      <c r="E996" s="154"/>
    </row>
    <row r="997" spans="4:5" x14ac:dyDescent="0.2">
      <c r="D997" s="148"/>
      <c r="E997" s="154"/>
    </row>
    <row r="998" spans="4:5" x14ac:dyDescent="0.2">
      <c r="D998" s="148"/>
      <c r="E998" s="154"/>
    </row>
    <row r="999" spans="4:5" x14ac:dyDescent="0.2">
      <c r="D999" s="148"/>
      <c r="E999" s="154"/>
    </row>
    <row r="1000" spans="4:5" x14ac:dyDescent="0.2">
      <c r="D1000" s="148"/>
      <c r="E1000" s="154"/>
    </row>
    <row r="1001" spans="4:5" x14ac:dyDescent="0.2">
      <c r="D1001" s="148"/>
      <c r="E1001" s="154"/>
    </row>
    <row r="1002" spans="4:5" x14ac:dyDescent="0.2">
      <c r="D1002" s="148"/>
      <c r="E1002" s="154"/>
    </row>
    <row r="1003" spans="4:5" x14ac:dyDescent="0.2">
      <c r="D1003" s="148"/>
      <c r="E1003" s="154"/>
    </row>
    <row r="1004" spans="4:5" x14ac:dyDescent="0.2">
      <c r="D1004" s="148"/>
      <c r="E1004" s="154"/>
    </row>
    <row r="1005" spans="4:5" x14ac:dyDescent="0.2">
      <c r="D1005" s="148"/>
      <c r="E1005" s="154"/>
    </row>
    <row r="1006" spans="4:5" x14ac:dyDescent="0.2">
      <c r="D1006" s="148"/>
      <c r="E1006" s="154"/>
    </row>
    <row r="1007" spans="4:5" x14ac:dyDescent="0.2">
      <c r="D1007" s="148"/>
      <c r="E1007" s="154"/>
    </row>
    <row r="1008" spans="4:5" x14ac:dyDescent="0.2">
      <c r="D1008" s="148"/>
      <c r="E1008" s="154"/>
    </row>
    <row r="1009" spans="4:5" x14ac:dyDescent="0.2">
      <c r="D1009" s="148"/>
      <c r="E1009" s="154"/>
    </row>
    <row r="1010" spans="4:5" x14ac:dyDescent="0.2">
      <c r="D1010" s="148"/>
      <c r="E1010" s="154"/>
    </row>
    <row r="1011" spans="4:5" x14ac:dyDescent="0.2">
      <c r="D1011" s="148"/>
      <c r="E1011" s="154"/>
    </row>
    <row r="1012" spans="4:5" x14ac:dyDescent="0.2">
      <c r="D1012" s="148"/>
      <c r="E1012" s="154"/>
    </row>
    <row r="1013" spans="4:5" x14ac:dyDescent="0.2">
      <c r="D1013" s="148"/>
      <c r="E1013" s="154"/>
    </row>
    <row r="1014" spans="4:5" x14ac:dyDescent="0.2">
      <c r="D1014" s="148"/>
      <c r="E1014" s="154"/>
    </row>
    <row r="1015" spans="4:5" x14ac:dyDescent="0.2">
      <c r="D1015" s="148"/>
      <c r="E1015" s="154"/>
    </row>
    <row r="1016" spans="4:5" x14ac:dyDescent="0.2">
      <c r="D1016" s="148"/>
      <c r="E1016" s="154"/>
    </row>
    <row r="1017" spans="4:5" x14ac:dyDescent="0.2">
      <c r="D1017" s="148"/>
      <c r="E1017" s="154"/>
    </row>
    <row r="1018" spans="4:5" x14ac:dyDescent="0.2">
      <c r="D1018" s="148"/>
      <c r="E1018" s="154"/>
    </row>
    <row r="1019" spans="4:5" x14ac:dyDescent="0.2">
      <c r="D1019" s="148"/>
      <c r="E1019" s="154"/>
    </row>
    <row r="1020" spans="4:5" x14ac:dyDescent="0.2">
      <c r="D1020" s="148"/>
      <c r="E1020" s="154"/>
    </row>
    <row r="1021" spans="4:5" x14ac:dyDescent="0.2">
      <c r="D1021" s="148"/>
      <c r="E1021" s="154"/>
    </row>
    <row r="1022" spans="4:5" x14ac:dyDescent="0.2">
      <c r="D1022" s="148"/>
      <c r="E1022" s="154"/>
    </row>
    <row r="1023" spans="4:5" x14ac:dyDescent="0.2">
      <c r="D1023" s="148"/>
      <c r="E1023" s="154"/>
    </row>
    <row r="1024" spans="4:5" x14ac:dyDescent="0.2">
      <c r="D1024" s="148"/>
      <c r="E1024" s="154"/>
    </row>
    <row r="1025" spans="4:5" x14ac:dyDescent="0.2">
      <c r="D1025" s="148"/>
      <c r="E1025" s="154"/>
    </row>
    <row r="1026" spans="4:5" x14ac:dyDescent="0.2">
      <c r="D1026" s="148"/>
      <c r="E1026" s="154"/>
    </row>
    <row r="1027" spans="4:5" x14ac:dyDescent="0.2">
      <c r="D1027" s="148"/>
      <c r="E1027" s="154"/>
    </row>
    <row r="1028" spans="4:5" x14ac:dyDescent="0.2">
      <c r="D1028" s="148"/>
      <c r="E1028" s="154"/>
    </row>
    <row r="1029" spans="4:5" x14ac:dyDescent="0.2">
      <c r="D1029" s="148"/>
      <c r="E1029" s="154"/>
    </row>
    <row r="1030" spans="4:5" x14ac:dyDescent="0.2">
      <c r="D1030" s="148"/>
      <c r="E1030" s="154"/>
    </row>
    <row r="1031" spans="4:5" x14ac:dyDescent="0.2">
      <c r="D1031" s="148"/>
      <c r="E1031" s="154"/>
    </row>
    <row r="1032" spans="4:5" x14ac:dyDescent="0.2">
      <c r="D1032" s="148"/>
      <c r="E1032" s="154"/>
    </row>
    <row r="1033" spans="4:5" x14ac:dyDescent="0.2">
      <c r="D1033" s="148"/>
      <c r="E1033" s="154"/>
    </row>
    <row r="1034" spans="4:5" x14ac:dyDescent="0.2">
      <c r="D1034" s="148"/>
      <c r="E1034" s="154"/>
    </row>
    <row r="1035" spans="4:5" x14ac:dyDescent="0.2">
      <c r="D1035" s="148"/>
      <c r="E1035" s="154"/>
    </row>
    <row r="1036" spans="4:5" x14ac:dyDescent="0.2">
      <c r="D1036" s="148"/>
      <c r="E1036" s="154"/>
    </row>
    <row r="1037" spans="4:5" x14ac:dyDescent="0.2">
      <c r="D1037" s="148"/>
      <c r="E1037" s="154"/>
    </row>
    <row r="1038" spans="4:5" x14ac:dyDescent="0.2">
      <c r="D1038" s="148"/>
      <c r="E1038" s="154"/>
    </row>
    <row r="1039" spans="4:5" x14ac:dyDescent="0.2">
      <c r="D1039" s="148"/>
      <c r="E1039" s="154"/>
    </row>
    <row r="1040" spans="4:5" x14ac:dyDescent="0.2">
      <c r="D1040" s="148"/>
      <c r="E1040" s="154"/>
    </row>
    <row r="1041" spans="4:5" x14ac:dyDescent="0.2">
      <c r="D1041" s="148"/>
      <c r="E1041" s="154"/>
    </row>
    <row r="1042" spans="4:5" x14ac:dyDescent="0.2">
      <c r="D1042" s="148"/>
      <c r="E1042" s="154"/>
    </row>
    <row r="1043" spans="4:5" x14ac:dyDescent="0.2">
      <c r="D1043" s="148"/>
      <c r="E1043" s="154"/>
    </row>
    <row r="1044" spans="4:5" x14ac:dyDescent="0.2">
      <c r="D1044" s="148"/>
      <c r="E1044" s="154"/>
    </row>
    <row r="1045" spans="4:5" x14ac:dyDescent="0.2">
      <c r="D1045" s="148"/>
      <c r="E1045" s="154"/>
    </row>
    <row r="1046" spans="4:5" x14ac:dyDescent="0.2">
      <c r="D1046" s="148"/>
      <c r="E1046" s="154"/>
    </row>
    <row r="1047" spans="4:5" x14ac:dyDescent="0.2">
      <c r="D1047" s="148"/>
      <c r="E1047" s="154"/>
    </row>
    <row r="1048" spans="4:5" x14ac:dyDescent="0.2">
      <c r="D1048" s="148"/>
      <c r="E1048" s="154"/>
    </row>
    <row r="1049" spans="4:5" x14ac:dyDescent="0.2">
      <c r="D1049" s="148"/>
      <c r="E1049" s="154"/>
    </row>
    <row r="1050" spans="4:5" x14ac:dyDescent="0.2">
      <c r="D1050" s="148"/>
      <c r="E1050" s="154"/>
    </row>
    <row r="1051" spans="4:5" x14ac:dyDescent="0.2">
      <c r="D1051" s="148"/>
      <c r="E1051" s="154"/>
    </row>
    <row r="1052" spans="4:5" x14ac:dyDescent="0.2">
      <c r="D1052" s="148"/>
      <c r="E1052" s="154"/>
    </row>
    <row r="1053" spans="4:5" x14ac:dyDescent="0.2">
      <c r="D1053" s="148"/>
      <c r="E1053" s="154"/>
    </row>
    <row r="1054" spans="4:5" x14ac:dyDescent="0.2">
      <c r="D1054" s="148"/>
      <c r="E1054" s="154"/>
    </row>
    <row r="1055" spans="4:5" x14ac:dyDescent="0.2">
      <c r="D1055" s="148"/>
      <c r="E1055" s="154"/>
    </row>
    <row r="1056" spans="4:5" x14ac:dyDescent="0.2">
      <c r="D1056" s="148"/>
      <c r="E1056" s="154"/>
    </row>
    <row r="1057" spans="4:5" x14ac:dyDescent="0.2">
      <c r="D1057" s="148"/>
      <c r="E1057" s="154"/>
    </row>
    <row r="1058" spans="4:5" x14ac:dyDescent="0.2">
      <c r="D1058" s="148"/>
      <c r="E1058" s="154"/>
    </row>
    <row r="1059" spans="4:5" x14ac:dyDescent="0.2">
      <c r="D1059" s="148"/>
      <c r="E1059" s="154"/>
    </row>
    <row r="1060" spans="4:5" x14ac:dyDescent="0.2">
      <c r="D1060" s="148"/>
      <c r="E1060" s="154"/>
    </row>
    <row r="1061" spans="4:5" x14ac:dyDescent="0.2">
      <c r="D1061" s="148"/>
      <c r="E1061" s="154"/>
    </row>
    <row r="1062" spans="4:5" x14ac:dyDescent="0.2">
      <c r="D1062" s="148"/>
      <c r="E1062" s="154"/>
    </row>
    <row r="1063" spans="4:5" x14ac:dyDescent="0.2">
      <c r="D1063" s="148"/>
      <c r="E1063" s="154"/>
    </row>
    <row r="1064" spans="4:5" x14ac:dyDescent="0.2">
      <c r="D1064" s="148"/>
      <c r="E1064" s="154"/>
    </row>
    <row r="1065" spans="4:5" x14ac:dyDescent="0.2">
      <c r="D1065" s="148"/>
      <c r="E1065" s="154"/>
    </row>
    <row r="1066" spans="4:5" x14ac:dyDescent="0.2">
      <c r="D1066" s="148"/>
      <c r="E1066" s="154"/>
    </row>
    <row r="1067" spans="4:5" x14ac:dyDescent="0.2">
      <c r="D1067" s="148"/>
      <c r="E1067" s="154"/>
    </row>
    <row r="1068" spans="4:5" x14ac:dyDescent="0.2">
      <c r="D1068" s="148"/>
      <c r="E1068" s="154"/>
    </row>
    <row r="1069" spans="4:5" x14ac:dyDescent="0.2">
      <c r="D1069" s="148"/>
      <c r="E1069" s="154"/>
    </row>
    <row r="1070" spans="4:5" x14ac:dyDescent="0.2">
      <c r="D1070" s="148"/>
      <c r="E1070" s="154"/>
    </row>
    <row r="1071" spans="4:5" x14ac:dyDescent="0.2">
      <c r="D1071" s="148"/>
      <c r="E1071" s="154"/>
    </row>
    <row r="1072" spans="4:5" x14ac:dyDescent="0.2">
      <c r="D1072" s="148"/>
      <c r="E1072" s="154"/>
    </row>
    <row r="1073" spans="4:5" x14ac:dyDescent="0.2">
      <c r="D1073" s="148"/>
      <c r="E1073" s="154"/>
    </row>
    <row r="1074" spans="4:5" x14ac:dyDescent="0.2">
      <c r="D1074" s="148"/>
      <c r="E1074" s="154"/>
    </row>
    <row r="1075" spans="4:5" x14ac:dyDescent="0.2">
      <c r="D1075" s="148"/>
      <c r="E1075" s="154"/>
    </row>
    <row r="1076" spans="4:5" x14ac:dyDescent="0.2">
      <c r="D1076" s="148"/>
      <c r="E1076" s="154"/>
    </row>
    <row r="1077" spans="4:5" x14ac:dyDescent="0.2">
      <c r="D1077" s="148"/>
      <c r="E1077" s="154"/>
    </row>
    <row r="1078" spans="4:5" x14ac:dyDescent="0.2">
      <c r="D1078" s="148"/>
      <c r="E1078" s="154"/>
    </row>
    <row r="1079" spans="4:5" x14ac:dyDescent="0.2">
      <c r="D1079" s="148"/>
      <c r="E1079" s="154"/>
    </row>
    <row r="1080" spans="4:5" x14ac:dyDescent="0.2">
      <c r="D1080" s="148"/>
      <c r="E1080" s="154"/>
    </row>
    <row r="1081" spans="4:5" x14ac:dyDescent="0.2">
      <c r="D1081" s="148"/>
      <c r="E1081" s="154"/>
    </row>
    <row r="1082" spans="4:5" x14ac:dyDescent="0.2">
      <c r="D1082" s="148"/>
      <c r="E1082" s="154"/>
    </row>
    <row r="1083" spans="4:5" x14ac:dyDescent="0.2">
      <c r="D1083" s="148"/>
      <c r="E1083" s="154"/>
    </row>
    <row r="1084" spans="4:5" x14ac:dyDescent="0.2">
      <c r="D1084" s="148"/>
      <c r="E1084" s="154"/>
    </row>
    <row r="1085" spans="4:5" x14ac:dyDescent="0.2">
      <c r="D1085" s="148"/>
      <c r="E1085" s="154"/>
    </row>
    <row r="1086" spans="4:5" x14ac:dyDescent="0.2">
      <c r="D1086" s="148"/>
      <c r="E1086" s="154"/>
    </row>
    <row r="1087" spans="4:5" x14ac:dyDescent="0.2">
      <c r="D1087" s="148"/>
      <c r="E1087" s="154"/>
    </row>
    <row r="1088" spans="4:5" x14ac:dyDescent="0.2">
      <c r="D1088" s="148"/>
      <c r="E1088" s="154"/>
    </row>
    <row r="1089" spans="4:5" x14ac:dyDescent="0.2">
      <c r="D1089" s="148"/>
      <c r="E1089" s="154"/>
    </row>
    <row r="1090" spans="4:5" x14ac:dyDescent="0.2">
      <c r="D1090" s="148"/>
      <c r="E1090" s="154"/>
    </row>
    <row r="1091" spans="4:5" x14ac:dyDescent="0.2">
      <c r="D1091" s="148"/>
      <c r="E1091" s="154"/>
    </row>
    <row r="1092" spans="4:5" x14ac:dyDescent="0.2">
      <c r="D1092" s="148"/>
      <c r="E1092" s="154"/>
    </row>
    <row r="1093" spans="4:5" x14ac:dyDescent="0.2">
      <c r="D1093" s="148"/>
      <c r="E1093" s="154"/>
    </row>
    <row r="1094" spans="4:5" x14ac:dyDescent="0.2">
      <c r="D1094" s="148"/>
      <c r="E1094" s="154"/>
    </row>
    <row r="1095" spans="4:5" x14ac:dyDescent="0.2">
      <c r="D1095" s="148"/>
      <c r="E1095" s="154"/>
    </row>
    <row r="1096" spans="4:5" x14ac:dyDescent="0.2">
      <c r="D1096" s="148"/>
      <c r="E1096" s="154"/>
    </row>
    <row r="1097" spans="4:5" x14ac:dyDescent="0.2">
      <c r="D1097" s="148"/>
      <c r="E1097" s="154"/>
    </row>
    <row r="1098" spans="4:5" x14ac:dyDescent="0.2">
      <c r="D1098" s="148"/>
      <c r="E1098" s="154"/>
    </row>
    <row r="1099" spans="4:5" x14ac:dyDescent="0.2">
      <c r="D1099" s="148"/>
      <c r="E1099" s="154"/>
    </row>
    <row r="1100" spans="4:5" x14ac:dyDescent="0.2">
      <c r="D1100" s="148"/>
      <c r="E1100" s="154"/>
    </row>
    <row r="1101" spans="4:5" x14ac:dyDescent="0.2">
      <c r="D1101" s="148"/>
      <c r="E1101" s="154"/>
    </row>
    <row r="1102" spans="4:5" x14ac:dyDescent="0.2">
      <c r="D1102" s="148"/>
      <c r="E1102" s="154"/>
    </row>
    <row r="1103" spans="4:5" x14ac:dyDescent="0.2">
      <c r="D1103" s="148"/>
      <c r="E1103" s="154"/>
    </row>
    <row r="1104" spans="4:5" x14ac:dyDescent="0.2">
      <c r="D1104" s="148"/>
      <c r="E1104" s="154"/>
    </row>
    <row r="1105" spans="4:5" x14ac:dyDescent="0.2">
      <c r="D1105" s="148"/>
      <c r="E1105" s="154"/>
    </row>
    <row r="1106" spans="4:5" x14ac:dyDescent="0.2">
      <c r="D1106" s="148"/>
      <c r="E1106" s="154"/>
    </row>
    <row r="1107" spans="4:5" x14ac:dyDescent="0.2">
      <c r="D1107" s="148"/>
      <c r="E1107" s="154"/>
    </row>
    <row r="1108" spans="4:5" x14ac:dyDescent="0.2">
      <c r="D1108" s="148"/>
      <c r="E1108" s="154"/>
    </row>
    <row r="1109" spans="4:5" x14ac:dyDescent="0.2">
      <c r="D1109" s="148"/>
      <c r="E1109" s="154"/>
    </row>
    <row r="1110" spans="4:5" x14ac:dyDescent="0.2">
      <c r="D1110" s="148"/>
      <c r="E1110" s="154"/>
    </row>
    <row r="1111" spans="4:5" x14ac:dyDescent="0.2">
      <c r="D1111" s="148"/>
      <c r="E1111" s="154"/>
    </row>
    <row r="1112" spans="4:5" x14ac:dyDescent="0.2">
      <c r="D1112" s="148"/>
      <c r="E1112" s="154"/>
    </row>
    <row r="1113" spans="4:5" x14ac:dyDescent="0.2">
      <c r="D1113" s="148"/>
      <c r="E1113" s="154"/>
    </row>
    <row r="1114" spans="4:5" x14ac:dyDescent="0.2">
      <c r="D1114" s="148"/>
      <c r="E1114" s="154"/>
    </row>
    <row r="1115" spans="4:5" x14ac:dyDescent="0.2">
      <c r="D1115" s="148"/>
      <c r="E1115" s="154"/>
    </row>
    <row r="1116" spans="4:5" x14ac:dyDescent="0.2">
      <c r="D1116" s="148"/>
      <c r="E1116" s="154"/>
    </row>
    <row r="1117" spans="4:5" x14ac:dyDescent="0.2">
      <c r="D1117" s="148"/>
      <c r="E1117" s="154"/>
    </row>
    <row r="1118" spans="4:5" x14ac:dyDescent="0.2">
      <c r="D1118" s="148"/>
      <c r="E1118" s="154"/>
    </row>
    <row r="1119" spans="4:5" x14ac:dyDescent="0.2">
      <c r="D1119" s="148"/>
      <c r="E1119" s="154"/>
    </row>
    <row r="1120" spans="4:5" x14ac:dyDescent="0.2">
      <c r="D1120" s="148"/>
      <c r="E1120" s="154"/>
    </row>
    <row r="1121" spans="4:5" x14ac:dyDescent="0.2">
      <c r="D1121" s="148"/>
      <c r="E1121" s="154"/>
    </row>
    <row r="1122" spans="4:5" x14ac:dyDescent="0.2">
      <c r="D1122" s="148"/>
      <c r="E1122" s="154"/>
    </row>
    <row r="1123" spans="4:5" x14ac:dyDescent="0.2">
      <c r="D1123" s="148"/>
      <c r="E1123" s="154"/>
    </row>
    <row r="1124" spans="4:5" x14ac:dyDescent="0.2">
      <c r="D1124" s="148"/>
      <c r="E1124" s="154"/>
    </row>
    <row r="1125" spans="4:5" x14ac:dyDescent="0.2">
      <c r="D1125" s="148"/>
      <c r="E1125" s="154"/>
    </row>
    <row r="1126" spans="4:5" x14ac:dyDescent="0.2">
      <c r="D1126" s="148"/>
      <c r="E1126" s="154"/>
    </row>
    <row r="1127" spans="4:5" x14ac:dyDescent="0.2">
      <c r="D1127" s="148"/>
      <c r="E1127" s="154"/>
    </row>
    <row r="1128" spans="4:5" x14ac:dyDescent="0.2">
      <c r="D1128" s="148"/>
      <c r="E1128" s="154"/>
    </row>
    <row r="1129" spans="4:5" x14ac:dyDescent="0.2">
      <c r="D1129" s="148"/>
      <c r="E1129" s="154"/>
    </row>
    <row r="1130" spans="4:5" x14ac:dyDescent="0.2">
      <c r="D1130" s="148"/>
      <c r="E1130" s="154"/>
    </row>
    <row r="1131" spans="4:5" x14ac:dyDescent="0.2">
      <c r="D1131" s="148"/>
      <c r="E1131" s="154"/>
    </row>
    <row r="1132" spans="4:5" x14ac:dyDescent="0.2">
      <c r="D1132" s="148"/>
      <c r="E1132" s="154"/>
    </row>
    <row r="1133" spans="4:5" x14ac:dyDescent="0.2">
      <c r="D1133" s="148"/>
      <c r="E1133" s="154"/>
    </row>
    <row r="1134" spans="4:5" x14ac:dyDescent="0.2">
      <c r="D1134" s="148"/>
      <c r="E1134" s="154"/>
    </row>
    <row r="1135" spans="4:5" x14ac:dyDescent="0.2">
      <c r="D1135" s="148"/>
      <c r="E1135" s="154"/>
    </row>
    <row r="1136" spans="4:5" x14ac:dyDescent="0.2">
      <c r="D1136" s="148"/>
      <c r="E1136" s="154"/>
    </row>
    <row r="1137" spans="4:5" x14ac:dyDescent="0.2">
      <c r="D1137" s="148"/>
      <c r="E1137" s="154"/>
    </row>
    <row r="1138" spans="4:5" x14ac:dyDescent="0.2">
      <c r="D1138" s="148"/>
      <c r="E1138" s="154"/>
    </row>
    <row r="1139" spans="4:5" x14ac:dyDescent="0.2">
      <c r="D1139" s="148"/>
      <c r="E1139" s="154"/>
    </row>
    <row r="1140" spans="4:5" x14ac:dyDescent="0.2">
      <c r="D1140" s="148"/>
      <c r="E1140" s="154"/>
    </row>
    <row r="1141" spans="4:5" x14ac:dyDescent="0.2">
      <c r="D1141" s="148"/>
      <c r="E1141" s="154"/>
    </row>
    <row r="1142" spans="4:5" x14ac:dyDescent="0.2">
      <c r="D1142" s="148"/>
      <c r="E1142" s="154"/>
    </row>
    <row r="1143" spans="4:5" x14ac:dyDescent="0.2">
      <c r="D1143" s="148"/>
      <c r="E1143" s="154"/>
    </row>
    <row r="1144" spans="4:5" x14ac:dyDescent="0.2">
      <c r="D1144" s="148"/>
      <c r="E1144" s="154"/>
    </row>
    <row r="1145" spans="4:5" x14ac:dyDescent="0.2">
      <c r="D1145" s="148"/>
      <c r="E1145" s="154"/>
    </row>
    <row r="1146" spans="4:5" x14ac:dyDescent="0.2">
      <c r="D1146" s="148"/>
      <c r="E1146" s="154"/>
    </row>
    <row r="1147" spans="4:5" x14ac:dyDescent="0.2">
      <c r="D1147" s="148"/>
      <c r="E1147" s="154"/>
    </row>
    <row r="1148" spans="4:5" x14ac:dyDescent="0.2">
      <c r="D1148" s="148"/>
      <c r="E1148" s="154"/>
    </row>
    <row r="1149" spans="4:5" x14ac:dyDescent="0.2">
      <c r="D1149" s="148"/>
      <c r="E1149" s="154"/>
    </row>
    <row r="1150" spans="4:5" x14ac:dyDescent="0.2">
      <c r="D1150" s="148"/>
      <c r="E1150" s="154"/>
    </row>
    <row r="1151" spans="4:5" x14ac:dyDescent="0.2">
      <c r="D1151" s="148"/>
      <c r="E1151" s="154"/>
    </row>
    <row r="1152" spans="4:5" x14ac:dyDescent="0.2">
      <c r="D1152" s="148"/>
      <c r="E1152" s="154"/>
    </row>
    <row r="1153" spans="4:5" x14ac:dyDescent="0.2">
      <c r="D1153" s="148"/>
      <c r="E1153" s="154"/>
    </row>
    <row r="1154" spans="4:5" x14ac:dyDescent="0.2">
      <c r="D1154" s="148"/>
      <c r="E1154" s="154"/>
    </row>
    <row r="1155" spans="4:5" x14ac:dyDescent="0.2">
      <c r="D1155" s="148"/>
      <c r="E1155" s="154"/>
    </row>
    <row r="1156" spans="4:5" x14ac:dyDescent="0.2">
      <c r="D1156" s="148"/>
      <c r="E1156" s="154"/>
    </row>
    <row r="1157" spans="4:5" x14ac:dyDescent="0.2">
      <c r="D1157" s="148"/>
      <c r="E1157" s="154"/>
    </row>
    <row r="1158" spans="4:5" x14ac:dyDescent="0.2">
      <c r="D1158" s="148"/>
      <c r="E1158" s="154"/>
    </row>
    <row r="1159" spans="4:5" x14ac:dyDescent="0.2">
      <c r="D1159" s="148"/>
      <c r="E1159" s="154"/>
    </row>
    <row r="1160" spans="4:5" x14ac:dyDescent="0.2">
      <c r="D1160" s="148"/>
      <c r="E1160" s="154"/>
    </row>
    <row r="1161" spans="4:5" x14ac:dyDescent="0.2">
      <c r="D1161" s="148"/>
      <c r="E1161" s="154"/>
    </row>
    <row r="1162" spans="4:5" x14ac:dyDescent="0.2">
      <c r="D1162" s="148"/>
      <c r="E1162" s="154"/>
    </row>
    <row r="1163" spans="4:5" x14ac:dyDescent="0.2">
      <c r="D1163" s="148"/>
      <c r="E1163" s="154"/>
    </row>
    <row r="1164" spans="4:5" x14ac:dyDescent="0.2">
      <c r="D1164" s="148"/>
      <c r="E1164" s="154"/>
    </row>
    <row r="1165" spans="4:5" x14ac:dyDescent="0.2">
      <c r="D1165" s="148"/>
      <c r="E1165" s="154"/>
    </row>
    <row r="1166" spans="4:5" x14ac:dyDescent="0.2">
      <c r="D1166" s="148"/>
      <c r="E1166" s="154"/>
    </row>
    <row r="1167" spans="4:5" x14ac:dyDescent="0.2">
      <c r="D1167" s="148"/>
      <c r="E1167" s="154"/>
    </row>
    <row r="1168" spans="4:5" x14ac:dyDescent="0.2">
      <c r="D1168" s="148"/>
      <c r="E1168" s="154"/>
    </row>
    <row r="1169" spans="4:5" x14ac:dyDescent="0.2">
      <c r="D1169" s="148"/>
      <c r="E1169" s="154"/>
    </row>
    <row r="1170" spans="4:5" x14ac:dyDescent="0.2">
      <c r="D1170" s="148"/>
      <c r="E1170" s="154"/>
    </row>
    <row r="1171" spans="4:5" x14ac:dyDescent="0.2">
      <c r="D1171" s="148"/>
      <c r="E1171" s="154"/>
    </row>
    <row r="1172" spans="4:5" x14ac:dyDescent="0.2">
      <c r="D1172" s="148"/>
      <c r="E1172" s="154"/>
    </row>
    <row r="1173" spans="4:5" x14ac:dyDescent="0.2">
      <c r="D1173" s="148"/>
      <c r="E1173" s="154"/>
    </row>
    <row r="1174" spans="4:5" x14ac:dyDescent="0.2">
      <c r="D1174" s="148"/>
      <c r="E1174" s="154"/>
    </row>
    <row r="1175" spans="4:5" x14ac:dyDescent="0.2">
      <c r="D1175" s="148"/>
      <c r="E1175" s="154"/>
    </row>
    <row r="1176" spans="4:5" x14ac:dyDescent="0.2">
      <c r="D1176" s="148"/>
      <c r="E1176" s="154"/>
    </row>
    <row r="1177" spans="4:5" x14ac:dyDescent="0.2">
      <c r="D1177" s="148"/>
      <c r="E1177" s="154"/>
    </row>
    <row r="1178" spans="4:5" x14ac:dyDescent="0.2">
      <c r="D1178" s="148"/>
      <c r="E1178" s="154"/>
    </row>
    <row r="1179" spans="4:5" x14ac:dyDescent="0.2">
      <c r="D1179" s="148"/>
      <c r="E1179" s="154"/>
    </row>
    <row r="1180" spans="4:5" x14ac:dyDescent="0.2">
      <c r="D1180" s="148"/>
      <c r="E1180" s="154"/>
    </row>
    <row r="1181" spans="4:5" x14ac:dyDescent="0.2">
      <c r="D1181" s="148"/>
      <c r="E1181" s="154"/>
    </row>
    <row r="1182" spans="4:5" x14ac:dyDescent="0.2">
      <c r="D1182" s="148"/>
      <c r="E1182" s="154"/>
    </row>
    <row r="1183" spans="4:5" x14ac:dyDescent="0.2">
      <c r="D1183" s="148"/>
      <c r="E1183" s="154"/>
    </row>
    <row r="1184" spans="4:5" x14ac:dyDescent="0.2">
      <c r="D1184" s="148"/>
      <c r="E1184" s="154"/>
    </row>
    <row r="1185" spans="4:5" x14ac:dyDescent="0.2">
      <c r="D1185" s="148"/>
      <c r="E1185" s="154"/>
    </row>
    <row r="1186" spans="4:5" x14ac:dyDescent="0.2">
      <c r="D1186" s="148"/>
      <c r="E1186" s="154"/>
    </row>
    <row r="1187" spans="4:5" x14ac:dyDescent="0.2">
      <c r="D1187" s="148"/>
      <c r="E1187" s="154"/>
    </row>
    <row r="1188" spans="4:5" x14ac:dyDescent="0.2">
      <c r="D1188" s="148"/>
      <c r="E1188" s="154"/>
    </row>
    <row r="1189" spans="4:5" x14ac:dyDescent="0.2">
      <c r="D1189" s="148"/>
      <c r="E1189" s="154"/>
    </row>
    <row r="1190" spans="4:5" x14ac:dyDescent="0.2">
      <c r="D1190" s="148"/>
      <c r="E1190" s="154"/>
    </row>
    <row r="1191" spans="4:5" x14ac:dyDescent="0.2">
      <c r="D1191" s="148"/>
      <c r="E1191" s="154"/>
    </row>
    <row r="1192" spans="4:5" x14ac:dyDescent="0.2">
      <c r="D1192" s="148"/>
      <c r="E1192" s="154"/>
    </row>
    <row r="1193" spans="4:5" x14ac:dyDescent="0.2">
      <c r="D1193" s="148"/>
      <c r="E1193" s="154"/>
    </row>
    <row r="1194" spans="4:5" x14ac:dyDescent="0.2">
      <c r="D1194" s="148"/>
      <c r="E1194" s="154"/>
    </row>
    <row r="1195" spans="4:5" x14ac:dyDescent="0.2">
      <c r="D1195" s="148"/>
      <c r="E1195" s="154"/>
    </row>
    <row r="1196" spans="4:5" x14ac:dyDescent="0.2">
      <c r="D1196" s="148"/>
      <c r="E1196" s="154"/>
    </row>
    <row r="1197" spans="4:5" x14ac:dyDescent="0.2">
      <c r="D1197" s="148"/>
      <c r="E1197" s="154"/>
    </row>
    <row r="1198" spans="4:5" x14ac:dyDescent="0.2">
      <c r="D1198" s="148"/>
      <c r="E1198" s="154"/>
    </row>
    <row r="1199" spans="4:5" x14ac:dyDescent="0.2">
      <c r="D1199" s="148"/>
      <c r="E1199" s="154"/>
    </row>
    <row r="1200" spans="4:5" x14ac:dyDescent="0.2">
      <c r="D1200" s="148"/>
      <c r="E1200" s="154"/>
    </row>
    <row r="1201" spans="4:5" x14ac:dyDescent="0.2">
      <c r="D1201" s="148"/>
      <c r="E1201" s="154"/>
    </row>
    <row r="1202" spans="4:5" x14ac:dyDescent="0.2">
      <c r="D1202" s="148"/>
      <c r="E1202" s="154"/>
    </row>
    <row r="1203" spans="4:5" x14ac:dyDescent="0.2">
      <c r="D1203" s="148"/>
      <c r="E1203" s="154"/>
    </row>
    <row r="1204" spans="4:5" x14ac:dyDescent="0.2">
      <c r="D1204" s="148"/>
      <c r="E1204" s="154"/>
    </row>
    <row r="1205" spans="4:5" x14ac:dyDescent="0.2">
      <c r="D1205" s="148"/>
      <c r="E1205" s="154"/>
    </row>
    <row r="1206" spans="4:5" x14ac:dyDescent="0.2">
      <c r="D1206" s="148"/>
      <c r="E1206" s="154"/>
    </row>
    <row r="1207" spans="4:5" x14ac:dyDescent="0.2">
      <c r="D1207" s="148"/>
      <c r="E1207" s="154"/>
    </row>
    <row r="1208" spans="4:5" x14ac:dyDescent="0.2">
      <c r="D1208" s="148"/>
      <c r="E1208" s="154"/>
    </row>
    <row r="1209" spans="4:5" x14ac:dyDescent="0.2">
      <c r="D1209" s="148"/>
      <c r="E1209" s="154"/>
    </row>
    <row r="1210" spans="4:5" x14ac:dyDescent="0.2">
      <c r="D1210" s="148"/>
      <c r="E1210" s="154"/>
    </row>
    <row r="1211" spans="4:5" x14ac:dyDescent="0.2">
      <c r="D1211" s="148"/>
      <c r="E1211" s="154"/>
    </row>
    <row r="1212" spans="4:5" x14ac:dyDescent="0.2">
      <c r="D1212" s="148"/>
      <c r="E1212" s="154"/>
    </row>
    <row r="1213" spans="4:5" x14ac:dyDescent="0.2">
      <c r="D1213" s="148"/>
      <c r="E1213" s="154"/>
    </row>
    <row r="1214" spans="4:5" x14ac:dyDescent="0.2">
      <c r="D1214" s="148"/>
      <c r="E1214" s="154"/>
    </row>
    <row r="1215" spans="4:5" x14ac:dyDescent="0.2">
      <c r="D1215" s="148"/>
      <c r="E1215" s="154"/>
    </row>
    <row r="1216" spans="4:5" x14ac:dyDescent="0.2">
      <c r="D1216" s="148"/>
      <c r="E1216" s="154"/>
    </row>
    <row r="1217" spans="4:5" x14ac:dyDescent="0.2">
      <c r="D1217" s="148"/>
      <c r="E1217" s="154"/>
    </row>
    <row r="1218" spans="4:5" x14ac:dyDescent="0.2">
      <c r="D1218" s="148"/>
      <c r="E1218" s="154"/>
    </row>
    <row r="1219" spans="4:5" x14ac:dyDescent="0.2">
      <c r="D1219" s="148"/>
      <c r="E1219" s="154"/>
    </row>
    <row r="1220" spans="4:5" x14ac:dyDescent="0.2">
      <c r="D1220" s="148"/>
      <c r="E1220" s="154"/>
    </row>
    <row r="1221" spans="4:5" x14ac:dyDescent="0.2">
      <c r="D1221" s="148"/>
      <c r="E1221" s="154"/>
    </row>
    <row r="1222" spans="4:5" x14ac:dyDescent="0.2">
      <c r="D1222" s="148"/>
      <c r="E1222" s="154"/>
    </row>
    <row r="1223" spans="4:5" x14ac:dyDescent="0.2">
      <c r="D1223" s="148"/>
      <c r="E1223" s="154"/>
    </row>
    <row r="1224" spans="4:5" x14ac:dyDescent="0.2">
      <c r="D1224" s="148"/>
      <c r="E1224" s="154"/>
    </row>
    <row r="1225" spans="4:5" x14ac:dyDescent="0.2">
      <c r="D1225" s="148"/>
      <c r="E1225" s="154"/>
    </row>
    <row r="1226" spans="4:5" x14ac:dyDescent="0.2">
      <c r="D1226" s="148"/>
      <c r="E1226" s="154"/>
    </row>
    <row r="1227" spans="4:5" x14ac:dyDescent="0.2">
      <c r="D1227" s="148"/>
      <c r="E1227" s="154"/>
    </row>
    <row r="1228" spans="4:5" x14ac:dyDescent="0.2">
      <c r="D1228" s="148"/>
      <c r="E1228" s="154"/>
    </row>
    <row r="1229" spans="4:5" x14ac:dyDescent="0.2">
      <c r="D1229" s="148"/>
      <c r="E1229" s="154"/>
    </row>
    <row r="1230" spans="4:5" x14ac:dyDescent="0.2">
      <c r="D1230" s="148"/>
      <c r="E1230" s="154"/>
    </row>
    <row r="1231" spans="4:5" x14ac:dyDescent="0.2">
      <c r="D1231" s="148"/>
      <c r="E1231" s="154"/>
    </row>
    <row r="1232" spans="4:5" x14ac:dyDescent="0.2">
      <c r="D1232" s="148"/>
      <c r="E1232" s="154"/>
    </row>
    <row r="1233" spans="4:5" x14ac:dyDescent="0.2">
      <c r="D1233" s="148"/>
      <c r="E1233" s="154"/>
    </row>
    <row r="1234" spans="4:5" x14ac:dyDescent="0.2">
      <c r="D1234" s="148"/>
      <c r="E1234" s="154"/>
    </row>
    <row r="1235" spans="4:5" x14ac:dyDescent="0.2">
      <c r="D1235" s="148"/>
      <c r="E1235" s="154"/>
    </row>
    <row r="1236" spans="4:5" x14ac:dyDescent="0.2">
      <c r="D1236" s="148"/>
      <c r="E1236" s="154"/>
    </row>
    <row r="1237" spans="4:5" x14ac:dyDescent="0.2">
      <c r="D1237" s="148"/>
      <c r="E1237" s="154"/>
    </row>
    <row r="1238" spans="4:5" x14ac:dyDescent="0.2">
      <c r="D1238" s="148"/>
      <c r="E1238" s="154"/>
    </row>
    <row r="1239" spans="4:5" x14ac:dyDescent="0.2">
      <c r="D1239" s="148"/>
      <c r="E1239" s="154"/>
    </row>
    <row r="1240" spans="4:5" x14ac:dyDescent="0.2">
      <c r="D1240" s="148"/>
      <c r="E1240" s="154"/>
    </row>
    <row r="1241" spans="4:5" x14ac:dyDescent="0.2">
      <c r="D1241" s="148"/>
      <c r="E1241" s="154"/>
    </row>
    <row r="1242" spans="4:5" x14ac:dyDescent="0.2">
      <c r="D1242" s="148"/>
      <c r="E1242" s="154"/>
    </row>
    <row r="1243" spans="4:5" x14ac:dyDescent="0.2">
      <c r="D1243" s="148"/>
      <c r="E1243" s="154"/>
    </row>
    <row r="1244" spans="4:5" x14ac:dyDescent="0.2">
      <c r="D1244" s="148"/>
      <c r="E1244" s="154"/>
    </row>
    <row r="1245" spans="4:5" x14ac:dyDescent="0.2">
      <c r="D1245" s="148"/>
      <c r="E1245" s="154"/>
    </row>
    <row r="1246" spans="4:5" x14ac:dyDescent="0.2">
      <c r="D1246" s="148"/>
      <c r="E1246" s="154"/>
    </row>
    <row r="1247" spans="4:5" x14ac:dyDescent="0.2">
      <c r="D1247" s="148"/>
      <c r="E1247" s="154"/>
    </row>
    <row r="1248" spans="4:5" x14ac:dyDescent="0.2">
      <c r="D1248" s="148"/>
      <c r="E1248" s="154"/>
    </row>
    <row r="1249" spans="4:5" x14ac:dyDescent="0.2">
      <c r="D1249" s="148"/>
      <c r="E1249" s="154"/>
    </row>
    <row r="1250" spans="4:5" x14ac:dyDescent="0.2">
      <c r="D1250" s="148"/>
      <c r="E1250" s="154"/>
    </row>
    <row r="1251" spans="4:5" x14ac:dyDescent="0.2">
      <c r="D1251" s="148"/>
      <c r="E1251" s="154"/>
    </row>
    <row r="1252" spans="4:5" x14ac:dyDescent="0.2">
      <c r="D1252" s="148"/>
      <c r="E1252" s="154"/>
    </row>
    <row r="1253" spans="4:5" x14ac:dyDescent="0.2">
      <c r="D1253" s="148"/>
      <c r="E1253" s="154"/>
    </row>
    <row r="1254" spans="4:5" x14ac:dyDescent="0.2">
      <c r="D1254" s="148"/>
      <c r="E1254" s="154"/>
    </row>
    <row r="1255" spans="4:5" x14ac:dyDescent="0.2">
      <c r="D1255" s="148"/>
      <c r="E1255" s="154"/>
    </row>
    <row r="1256" spans="4:5" x14ac:dyDescent="0.2">
      <c r="D1256" s="148"/>
      <c r="E1256" s="154"/>
    </row>
    <row r="1257" spans="4:5" x14ac:dyDescent="0.2">
      <c r="D1257" s="148"/>
      <c r="E1257" s="154"/>
    </row>
    <row r="1258" spans="4:5" x14ac:dyDescent="0.2">
      <c r="D1258" s="148"/>
      <c r="E1258" s="154"/>
    </row>
    <row r="1259" spans="4:5" x14ac:dyDescent="0.2">
      <c r="D1259" s="148"/>
      <c r="E1259" s="154"/>
    </row>
    <row r="1260" spans="4:5" x14ac:dyDescent="0.2">
      <c r="D1260" s="148"/>
      <c r="E1260" s="154"/>
    </row>
    <row r="1261" spans="4:5" x14ac:dyDescent="0.2">
      <c r="D1261" s="148"/>
      <c r="E1261" s="154"/>
    </row>
    <row r="1262" spans="4:5" x14ac:dyDescent="0.2">
      <c r="D1262" s="148"/>
      <c r="E1262" s="154"/>
    </row>
    <row r="1263" spans="4:5" x14ac:dyDescent="0.2">
      <c r="D1263" s="148"/>
      <c r="E1263" s="154"/>
    </row>
    <row r="1264" spans="4:5" x14ac:dyDescent="0.2">
      <c r="D1264" s="148"/>
      <c r="E1264" s="154"/>
    </row>
    <row r="1265" spans="4:5" x14ac:dyDescent="0.2">
      <c r="D1265" s="148"/>
      <c r="E1265" s="154"/>
    </row>
    <row r="1266" spans="4:5" x14ac:dyDescent="0.2">
      <c r="D1266" s="148"/>
      <c r="E1266" s="154"/>
    </row>
    <row r="1267" spans="4:5" x14ac:dyDescent="0.2">
      <c r="D1267" s="148"/>
      <c r="E1267" s="154"/>
    </row>
    <row r="1268" spans="4:5" x14ac:dyDescent="0.2">
      <c r="D1268" s="148"/>
      <c r="E1268" s="154"/>
    </row>
    <row r="1269" spans="4:5" x14ac:dyDescent="0.2">
      <c r="D1269" s="148"/>
      <c r="E1269" s="154"/>
    </row>
    <row r="1270" spans="4:5" x14ac:dyDescent="0.2">
      <c r="D1270" s="148"/>
      <c r="E1270" s="154"/>
    </row>
    <row r="1271" spans="4:5" x14ac:dyDescent="0.2">
      <c r="D1271" s="148"/>
      <c r="E1271" s="154"/>
    </row>
    <row r="1272" spans="4:5" x14ac:dyDescent="0.2">
      <c r="D1272" s="148"/>
      <c r="E1272" s="154"/>
    </row>
    <row r="1273" spans="4:5" x14ac:dyDescent="0.2">
      <c r="D1273" s="148"/>
      <c r="E1273" s="154"/>
    </row>
    <row r="1274" spans="4:5" x14ac:dyDescent="0.2">
      <c r="D1274" s="148"/>
      <c r="E1274" s="154"/>
    </row>
    <row r="1275" spans="4:5" x14ac:dyDescent="0.2">
      <c r="D1275" s="148"/>
      <c r="E1275" s="154"/>
    </row>
    <row r="1276" spans="4:5" x14ac:dyDescent="0.2">
      <c r="D1276" s="148"/>
      <c r="E1276" s="154"/>
    </row>
    <row r="1277" spans="4:5" x14ac:dyDescent="0.2">
      <c r="D1277" s="148"/>
      <c r="E1277" s="154"/>
    </row>
    <row r="1278" spans="4:5" x14ac:dyDescent="0.2">
      <c r="D1278" s="148"/>
      <c r="E1278" s="154"/>
    </row>
    <row r="1279" spans="4:5" x14ac:dyDescent="0.2">
      <c r="D1279" s="148"/>
      <c r="E1279" s="154"/>
    </row>
    <row r="1280" spans="4:5" x14ac:dyDescent="0.2">
      <c r="D1280" s="148"/>
      <c r="E1280" s="154"/>
    </row>
    <row r="1281" spans="4:5" x14ac:dyDescent="0.2">
      <c r="D1281" s="148"/>
      <c r="E1281" s="154"/>
    </row>
    <row r="1282" spans="4:5" x14ac:dyDescent="0.2">
      <c r="D1282" s="148"/>
      <c r="E1282" s="154"/>
    </row>
    <row r="1283" spans="4:5" x14ac:dyDescent="0.2">
      <c r="D1283" s="148"/>
      <c r="E1283" s="154"/>
    </row>
    <row r="1284" spans="4:5" x14ac:dyDescent="0.2">
      <c r="D1284" s="148"/>
      <c r="E1284" s="154"/>
    </row>
    <row r="1285" spans="4:5" x14ac:dyDescent="0.2">
      <c r="D1285" s="148"/>
      <c r="E1285" s="154"/>
    </row>
    <row r="1286" spans="4:5" x14ac:dyDescent="0.2">
      <c r="D1286" s="148"/>
      <c r="E1286" s="154"/>
    </row>
    <row r="1287" spans="4:5" x14ac:dyDescent="0.2">
      <c r="D1287" s="148"/>
      <c r="E1287" s="154"/>
    </row>
    <row r="1288" spans="4:5" x14ac:dyDescent="0.2">
      <c r="D1288" s="148"/>
      <c r="E1288" s="154"/>
    </row>
    <row r="1289" spans="4:5" x14ac:dyDescent="0.2">
      <c r="D1289" s="148"/>
      <c r="E1289" s="154"/>
    </row>
    <row r="1290" spans="4:5" x14ac:dyDescent="0.2">
      <c r="D1290" s="148"/>
      <c r="E1290" s="154"/>
    </row>
    <row r="1291" spans="4:5" x14ac:dyDescent="0.2">
      <c r="D1291" s="148"/>
      <c r="E1291" s="154"/>
    </row>
    <row r="1292" spans="4:5" x14ac:dyDescent="0.2">
      <c r="D1292" s="148"/>
      <c r="E1292" s="154"/>
    </row>
    <row r="1293" spans="4:5" x14ac:dyDescent="0.2">
      <c r="D1293" s="148"/>
      <c r="E1293" s="154"/>
    </row>
    <row r="1294" spans="4:5" x14ac:dyDescent="0.2">
      <c r="D1294" s="148"/>
      <c r="E1294" s="154"/>
    </row>
    <row r="1295" spans="4:5" x14ac:dyDescent="0.2">
      <c r="D1295" s="148"/>
      <c r="E1295" s="154"/>
    </row>
    <row r="1296" spans="4:5" x14ac:dyDescent="0.2">
      <c r="D1296" s="148"/>
      <c r="E1296" s="154"/>
    </row>
    <row r="1297" spans="4:5" x14ac:dyDescent="0.2">
      <c r="D1297" s="148"/>
      <c r="E1297" s="154"/>
    </row>
    <row r="1298" spans="4:5" x14ac:dyDescent="0.2">
      <c r="D1298" s="148"/>
      <c r="E1298" s="154"/>
    </row>
    <row r="1299" spans="4:5" x14ac:dyDescent="0.2">
      <c r="D1299" s="148"/>
      <c r="E1299" s="154"/>
    </row>
    <row r="1300" spans="4:5" x14ac:dyDescent="0.2">
      <c r="D1300" s="148"/>
      <c r="E1300" s="154"/>
    </row>
    <row r="1301" spans="4:5" x14ac:dyDescent="0.2">
      <c r="D1301" s="148"/>
      <c r="E1301" s="154"/>
    </row>
    <row r="1302" spans="4:5" x14ac:dyDescent="0.2">
      <c r="D1302" s="148"/>
      <c r="E1302" s="154"/>
    </row>
    <row r="1303" spans="4:5" x14ac:dyDescent="0.2">
      <c r="D1303" s="148"/>
      <c r="E1303" s="154"/>
    </row>
    <row r="1304" spans="4:5" x14ac:dyDescent="0.2">
      <c r="D1304" s="148"/>
      <c r="E1304" s="154"/>
    </row>
    <row r="1305" spans="4:5" x14ac:dyDescent="0.2">
      <c r="D1305" s="148"/>
      <c r="E1305" s="154"/>
    </row>
    <row r="1306" spans="4:5" x14ac:dyDescent="0.2">
      <c r="D1306" s="148"/>
      <c r="E1306" s="154"/>
    </row>
    <row r="1307" spans="4:5" x14ac:dyDescent="0.2">
      <c r="D1307" s="148"/>
      <c r="E1307" s="154"/>
    </row>
    <row r="1308" spans="4:5" x14ac:dyDescent="0.2">
      <c r="D1308" s="148"/>
      <c r="E1308" s="154"/>
    </row>
    <row r="1309" spans="4:5" x14ac:dyDescent="0.2">
      <c r="D1309" s="148"/>
      <c r="E1309" s="154"/>
    </row>
    <row r="1310" spans="4:5" x14ac:dyDescent="0.2">
      <c r="D1310" s="148"/>
      <c r="E1310" s="154"/>
    </row>
    <row r="1311" spans="4:5" x14ac:dyDescent="0.2">
      <c r="D1311" s="148"/>
      <c r="E1311" s="154"/>
    </row>
    <row r="1312" spans="4:5" x14ac:dyDescent="0.2">
      <c r="D1312" s="148"/>
      <c r="E1312" s="154"/>
    </row>
    <row r="1313" spans="4:5" x14ac:dyDescent="0.2">
      <c r="D1313" s="148"/>
      <c r="E1313" s="154"/>
    </row>
    <row r="1314" spans="4:5" x14ac:dyDescent="0.2">
      <c r="D1314" s="148"/>
      <c r="E1314" s="154"/>
    </row>
    <row r="1315" spans="4:5" x14ac:dyDescent="0.2">
      <c r="D1315" s="148"/>
      <c r="E1315" s="154"/>
    </row>
    <row r="1316" spans="4:5" x14ac:dyDescent="0.2">
      <c r="D1316" s="148"/>
      <c r="E1316" s="154"/>
    </row>
    <row r="1317" spans="4:5" x14ac:dyDescent="0.2">
      <c r="D1317" s="148"/>
      <c r="E1317" s="154"/>
    </row>
    <row r="1318" spans="4:5" x14ac:dyDescent="0.2">
      <c r="D1318" s="148"/>
      <c r="E1318" s="154"/>
    </row>
    <row r="1319" spans="4:5" x14ac:dyDescent="0.2">
      <c r="D1319" s="148"/>
      <c r="E1319" s="154"/>
    </row>
    <row r="1320" spans="4:5" x14ac:dyDescent="0.2">
      <c r="D1320" s="148"/>
      <c r="E1320" s="154"/>
    </row>
    <row r="1321" spans="4:5" x14ac:dyDescent="0.2">
      <c r="D1321" s="148"/>
      <c r="E1321" s="154"/>
    </row>
    <row r="1322" spans="4:5" x14ac:dyDescent="0.2">
      <c r="D1322" s="148"/>
      <c r="E1322" s="154"/>
    </row>
    <row r="1323" spans="4:5" x14ac:dyDescent="0.2">
      <c r="D1323" s="148"/>
      <c r="E1323" s="154"/>
    </row>
    <row r="1324" spans="4:5" x14ac:dyDescent="0.2">
      <c r="D1324" s="148"/>
      <c r="E1324" s="154"/>
    </row>
    <row r="1325" spans="4:5" x14ac:dyDescent="0.2">
      <c r="D1325" s="148"/>
      <c r="E1325" s="154"/>
    </row>
    <row r="1326" spans="4:5" x14ac:dyDescent="0.2">
      <c r="D1326" s="148"/>
      <c r="E1326" s="154"/>
    </row>
    <row r="1327" spans="4:5" x14ac:dyDescent="0.2">
      <c r="D1327" s="148"/>
      <c r="E1327" s="154"/>
    </row>
    <row r="1328" spans="4:5" x14ac:dyDescent="0.2">
      <c r="D1328" s="148"/>
      <c r="E1328" s="154"/>
    </row>
    <row r="1329" spans="4:5" x14ac:dyDescent="0.2">
      <c r="D1329" s="148"/>
      <c r="E1329" s="154"/>
    </row>
    <row r="1330" spans="4:5" x14ac:dyDescent="0.2">
      <c r="D1330" s="148"/>
      <c r="E1330" s="154"/>
    </row>
    <row r="1331" spans="4:5" x14ac:dyDescent="0.2">
      <c r="D1331" s="148"/>
      <c r="E1331" s="154"/>
    </row>
    <row r="1332" spans="4:5" x14ac:dyDescent="0.2">
      <c r="D1332" s="148"/>
      <c r="E1332" s="154"/>
    </row>
    <row r="1333" spans="4:5" x14ac:dyDescent="0.2">
      <c r="D1333" s="148"/>
      <c r="E1333" s="154"/>
    </row>
    <row r="1334" spans="4:5" x14ac:dyDescent="0.2">
      <c r="D1334" s="148"/>
      <c r="E1334" s="154"/>
    </row>
    <row r="1335" spans="4:5" x14ac:dyDescent="0.2">
      <c r="D1335" s="148"/>
      <c r="E1335" s="154"/>
    </row>
    <row r="1336" spans="4:5" x14ac:dyDescent="0.2">
      <c r="D1336" s="148"/>
      <c r="E1336" s="154"/>
    </row>
    <row r="1337" spans="4:5" x14ac:dyDescent="0.2">
      <c r="D1337" s="148"/>
      <c r="E1337" s="154"/>
    </row>
    <row r="1338" spans="4:5" x14ac:dyDescent="0.2">
      <c r="D1338" s="148"/>
      <c r="E1338" s="154"/>
    </row>
    <row r="1339" spans="4:5" x14ac:dyDescent="0.2">
      <c r="D1339" s="148"/>
      <c r="E1339" s="154"/>
    </row>
    <row r="1340" spans="4:5" x14ac:dyDescent="0.2">
      <c r="D1340" s="148"/>
      <c r="E1340" s="154"/>
    </row>
    <row r="1341" spans="4:5" x14ac:dyDescent="0.2">
      <c r="D1341" s="148"/>
      <c r="E1341" s="154"/>
    </row>
    <row r="1342" spans="4:5" x14ac:dyDescent="0.2">
      <c r="D1342" s="148"/>
      <c r="E1342" s="154"/>
    </row>
    <row r="1343" spans="4:5" x14ac:dyDescent="0.2">
      <c r="D1343" s="148"/>
      <c r="E1343" s="154"/>
    </row>
    <row r="1344" spans="4:5" x14ac:dyDescent="0.2">
      <c r="D1344" s="148"/>
      <c r="E1344" s="154"/>
    </row>
    <row r="1345" spans="4:5" x14ac:dyDescent="0.2">
      <c r="D1345" s="148"/>
      <c r="E1345" s="154"/>
    </row>
    <row r="1346" spans="4:5" x14ac:dyDescent="0.2">
      <c r="D1346" s="148"/>
      <c r="E1346" s="154"/>
    </row>
    <row r="1347" spans="4:5" x14ac:dyDescent="0.2">
      <c r="D1347" s="148"/>
      <c r="E1347" s="154"/>
    </row>
    <row r="1348" spans="4:5" x14ac:dyDescent="0.2">
      <c r="D1348" s="148"/>
      <c r="E1348" s="154"/>
    </row>
    <row r="1349" spans="4:5" x14ac:dyDescent="0.2">
      <c r="D1349" s="148"/>
      <c r="E1349" s="154"/>
    </row>
    <row r="1350" spans="4:5" x14ac:dyDescent="0.2">
      <c r="D1350" s="148"/>
      <c r="E1350" s="154"/>
    </row>
    <row r="1351" spans="4:5" x14ac:dyDescent="0.2">
      <c r="D1351" s="148"/>
      <c r="E1351" s="154"/>
    </row>
    <row r="1352" spans="4:5" x14ac:dyDescent="0.2">
      <c r="D1352" s="148"/>
      <c r="E1352" s="154"/>
    </row>
    <row r="1353" spans="4:5" x14ac:dyDescent="0.2">
      <c r="D1353" s="148"/>
      <c r="E1353" s="154"/>
    </row>
    <row r="1354" spans="4:5" x14ac:dyDescent="0.2">
      <c r="D1354" s="148"/>
      <c r="E1354" s="154"/>
    </row>
    <row r="1355" spans="4:5" x14ac:dyDescent="0.2">
      <c r="D1355" s="148"/>
      <c r="E1355" s="154"/>
    </row>
    <row r="1356" spans="4:5" x14ac:dyDescent="0.2">
      <c r="D1356" s="148"/>
      <c r="E1356" s="154"/>
    </row>
    <row r="1357" spans="4:5" x14ac:dyDescent="0.2">
      <c r="D1357" s="148"/>
      <c r="E1357" s="154"/>
    </row>
    <row r="1358" spans="4:5" x14ac:dyDescent="0.2">
      <c r="D1358" s="148"/>
      <c r="E1358" s="154"/>
    </row>
    <row r="1359" spans="4:5" x14ac:dyDescent="0.2">
      <c r="D1359" s="148"/>
      <c r="E1359" s="154"/>
    </row>
    <row r="1360" spans="4:5" x14ac:dyDescent="0.2">
      <c r="D1360" s="148"/>
      <c r="E1360" s="154"/>
    </row>
    <row r="1361" spans="4:5" x14ac:dyDescent="0.2">
      <c r="D1361" s="148"/>
      <c r="E1361" s="154"/>
    </row>
    <row r="1362" spans="4:5" x14ac:dyDescent="0.2">
      <c r="D1362" s="148"/>
      <c r="E1362" s="154"/>
    </row>
    <row r="1363" spans="4:5" x14ac:dyDescent="0.2">
      <c r="D1363" s="148"/>
      <c r="E1363" s="154"/>
    </row>
    <row r="1364" spans="4:5" x14ac:dyDescent="0.2">
      <c r="D1364" s="148"/>
      <c r="E1364" s="154"/>
    </row>
    <row r="1365" spans="4:5" x14ac:dyDescent="0.2">
      <c r="D1365" s="148"/>
      <c r="E1365" s="154"/>
    </row>
    <row r="1366" spans="4:5" x14ac:dyDescent="0.2">
      <c r="D1366" s="148"/>
      <c r="E1366" s="154"/>
    </row>
    <row r="1367" spans="4:5" x14ac:dyDescent="0.2">
      <c r="D1367" s="148"/>
      <c r="E1367" s="154"/>
    </row>
    <row r="1368" spans="4:5" x14ac:dyDescent="0.2">
      <c r="D1368" s="148"/>
      <c r="E1368" s="154"/>
    </row>
    <row r="1369" spans="4:5" x14ac:dyDescent="0.2">
      <c r="D1369" s="148"/>
      <c r="E1369" s="154"/>
    </row>
    <row r="1370" spans="4:5" x14ac:dyDescent="0.2">
      <c r="D1370" s="148"/>
      <c r="E1370" s="154"/>
    </row>
    <row r="1371" spans="4:5" x14ac:dyDescent="0.2">
      <c r="D1371" s="148"/>
      <c r="E1371" s="154"/>
    </row>
    <row r="1372" spans="4:5" x14ac:dyDescent="0.2">
      <c r="D1372" s="148"/>
      <c r="E1372" s="154"/>
    </row>
    <row r="1373" spans="4:5" x14ac:dyDescent="0.2">
      <c r="D1373" s="148"/>
      <c r="E1373" s="154"/>
    </row>
    <row r="1374" spans="4:5" x14ac:dyDescent="0.2">
      <c r="D1374" s="148"/>
      <c r="E1374" s="154"/>
    </row>
    <row r="1375" spans="4:5" x14ac:dyDescent="0.2">
      <c r="D1375" s="148"/>
      <c r="E1375" s="154"/>
    </row>
    <row r="1376" spans="4:5" x14ac:dyDescent="0.2">
      <c r="D1376" s="148"/>
      <c r="E1376" s="154"/>
    </row>
    <row r="1377" spans="4:5" x14ac:dyDescent="0.2">
      <c r="D1377" s="148"/>
      <c r="E1377" s="154"/>
    </row>
    <row r="1378" spans="4:5" x14ac:dyDescent="0.2">
      <c r="D1378" s="148"/>
      <c r="E1378" s="154"/>
    </row>
    <row r="1379" spans="4:5" x14ac:dyDescent="0.2">
      <c r="D1379" s="148"/>
      <c r="E1379" s="154"/>
    </row>
    <row r="1380" spans="4:5" x14ac:dyDescent="0.2">
      <c r="D1380" s="148"/>
      <c r="E1380" s="154"/>
    </row>
    <row r="1381" spans="4:5" x14ac:dyDescent="0.2">
      <c r="D1381" s="148"/>
      <c r="E1381" s="154"/>
    </row>
    <row r="1382" spans="4:5" x14ac:dyDescent="0.2">
      <c r="D1382" s="148"/>
      <c r="E1382" s="154"/>
    </row>
    <row r="1383" spans="4:5" x14ac:dyDescent="0.2">
      <c r="D1383" s="148"/>
      <c r="E1383" s="154"/>
    </row>
    <row r="1384" spans="4:5" x14ac:dyDescent="0.2">
      <c r="D1384" s="148"/>
      <c r="E1384" s="154"/>
    </row>
    <row r="1385" spans="4:5" x14ac:dyDescent="0.2">
      <c r="D1385" s="148"/>
      <c r="E1385" s="154"/>
    </row>
    <row r="1386" spans="4:5" x14ac:dyDescent="0.2">
      <c r="D1386" s="148"/>
      <c r="E1386" s="154"/>
    </row>
    <row r="1387" spans="4:5" x14ac:dyDescent="0.2">
      <c r="D1387" s="148"/>
      <c r="E1387" s="154"/>
    </row>
    <row r="1388" spans="4:5" x14ac:dyDescent="0.2">
      <c r="D1388" s="148"/>
      <c r="E1388" s="154"/>
    </row>
    <row r="1389" spans="4:5" x14ac:dyDescent="0.2">
      <c r="D1389" s="148"/>
      <c r="E1389" s="154"/>
    </row>
    <row r="1390" spans="4:5" x14ac:dyDescent="0.2">
      <c r="D1390" s="148"/>
      <c r="E1390" s="154"/>
    </row>
    <row r="1391" spans="4:5" x14ac:dyDescent="0.2">
      <c r="D1391" s="148"/>
      <c r="E1391" s="154"/>
    </row>
    <row r="1392" spans="4:5" x14ac:dyDescent="0.2">
      <c r="D1392" s="148"/>
      <c r="E1392" s="154"/>
    </row>
    <row r="1393" spans="4:5" x14ac:dyDescent="0.2">
      <c r="D1393" s="148"/>
      <c r="E1393" s="154"/>
    </row>
    <row r="1394" spans="4:5" x14ac:dyDescent="0.2">
      <c r="D1394" s="148"/>
      <c r="E1394" s="154"/>
    </row>
    <row r="1395" spans="4:5" x14ac:dyDescent="0.2">
      <c r="D1395" s="148"/>
      <c r="E1395" s="154"/>
    </row>
    <row r="1396" spans="4:5" x14ac:dyDescent="0.2">
      <c r="D1396" s="148"/>
      <c r="E1396" s="154"/>
    </row>
    <row r="1397" spans="4:5" x14ac:dyDescent="0.2">
      <c r="D1397" s="148"/>
      <c r="E1397" s="154"/>
    </row>
    <row r="1398" spans="4:5" x14ac:dyDescent="0.2">
      <c r="D1398" s="148"/>
      <c r="E1398" s="154"/>
    </row>
    <row r="1399" spans="4:5" x14ac:dyDescent="0.2">
      <c r="D1399" s="148"/>
      <c r="E1399" s="154"/>
    </row>
    <row r="1400" spans="4:5" x14ac:dyDescent="0.2">
      <c r="D1400" s="148"/>
      <c r="E1400" s="154"/>
    </row>
    <row r="1401" spans="4:5" x14ac:dyDescent="0.2">
      <c r="D1401" s="148"/>
      <c r="E1401" s="154"/>
    </row>
    <row r="1402" spans="4:5" x14ac:dyDescent="0.2">
      <c r="D1402" s="148"/>
      <c r="E1402" s="154"/>
    </row>
    <row r="1403" spans="4:5" x14ac:dyDescent="0.2">
      <c r="D1403" s="148"/>
      <c r="E1403" s="154"/>
    </row>
    <row r="1404" spans="4:5" x14ac:dyDescent="0.2">
      <c r="D1404" s="148"/>
      <c r="E1404" s="154"/>
    </row>
    <row r="1405" spans="4:5" x14ac:dyDescent="0.2">
      <c r="D1405" s="148"/>
      <c r="E1405" s="154"/>
    </row>
    <row r="1406" spans="4:5" x14ac:dyDescent="0.2">
      <c r="D1406" s="148"/>
      <c r="E1406" s="154"/>
    </row>
    <row r="1407" spans="4:5" x14ac:dyDescent="0.2">
      <c r="D1407" s="148"/>
      <c r="E1407" s="154"/>
    </row>
    <row r="1408" spans="4:5" x14ac:dyDescent="0.2">
      <c r="D1408" s="148"/>
      <c r="E1408" s="154"/>
    </row>
    <row r="1409" spans="4:5" x14ac:dyDescent="0.2">
      <c r="D1409" s="148"/>
      <c r="E1409" s="154"/>
    </row>
    <row r="1410" spans="4:5" x14ac:dyDescent="0.2">
      <c r="D1410" s="148"/>
      <c r="E1410" s="154"/>
    </row>
    <row r="1411" spans="4:5" x14ac:dyDescent="0.2">
      <c r="D1411" s="148"/>
      <c r="E1411" s="154"/>
    </row>
    <row r="1412" spans="4:5" x14ac:dyDescent="0.2">
      <c r="D1412" s="148"/>
      <c r="E1412" s="154"/>
    </row>
    <row r="1413" spans="4:5" x14ac:dyDescent="0.2">
      <c r="D1413" s="148"/>
      <c r="E1413" s="154"/>
    </row>
    <row r="1414" spans="4:5" x14ac:dyDescent="0.2">
      <c r="D1414" s="148"/>
      <c r="E1414" s="154"/>
    </row>
    <row r="1415" spans="4:5" x14ac:dyDescent="0.2">
      <c r="D1415" s="148"/>
      <c r="E1415" s="154"/>
    </row>
    <row r="1416" spans="4:5" x14ac:dyDescent="0.2">
      <c r="D1416" s="148"/>
      <c r="E1416" s="154"/>
    </row>
    <row r="1417" spans="4:5" x14ac:dyDescent="0.2">
      <c r="D1417" s="148"/>
      <c r="E1417" s="154"/>
    </row>
    <row r="1418" spans="4:5" x14ac:dyDescent="0.2">
      <c r="D1418" s="148"/>
      <c r="E1418" s="154"/>
    </row>
    <row r="1419" spans="4:5" x14ac:dyDescent="0.2">
      <c r="D1419" s="148"/>
      <c r="E1419" s="154"/>
    </row>
    <row r="1420" spans="4:5" x14ac:dyDescent="0.2">
      <c r="D1420" s="148"/>
      <c r="E1420" s="154"/>
    </row>
    <row r="1421" spans="4:5" x14ac:dyDescent="0.2">
      <c r="D1421" s="148"/>
      <c r="E1421" s="154"/>
    </row>
    <row r="1422" spans="4:5" x14ac:dyDescent="0.2">
      <c r="D1422" s="148"/>
      <c r="E1422" s="154"/>
    </row>
    <row r="1423" spans="4:5" x14ac:dyDescent="0.2">
      <c r="D1423" s="148"/>
      <c r="E1423" s="154"/>
    </row>
    <row r="1424" spans="4:5" x14ac:dyDescent="0.2">
      <c r="D1424" s="148"/>
      <c r="E1424" s="154"/>
    </row>
    <row r="1425" spans="4:5" x14ac:dyDescent="0.2">
      <c r="D1425" s="148"/>
      <c r="E1425" s="154"/>
    </row>
    <row r="1426" spans="4:5" x14ac:dyDescent="0.2">
      <c r="D1426" s="148"/>
      <c r="E1426" s="154"/>
    </row>
    <row r="1427" spans="4:5" x14ac:dyDescent="0.2">
      <c r="D1427" s="148"/>
      <c r="E1427" s="154"/>
    </row>
    <row r="1428" spans="4:5" x14ac:dyDescent="0.2">
      <c r="D1428" s="148"/>
      <c r="E1428" s="154"/>
    </row>
    <row r="1429" spans="4:5" x14ac:dyDescent="0.2">
      <c r="D1429" s="148"/>
      <c r="E1429" s="154"/>
    </row>
    <row r="1430" spans="4:5" x14ac:dyDescent="0.2">
      <c r="D1430" s="148"/>
      <c r="E1430" s="154"/>
    </row>
    <row r="1431" spans="4:5" x14ac:dyDescent="0.2">
      <c r="D1431" s="148"/>
      <c r="E1431" s="154"/>
    </row>
    <row r="1432" spans="4:5" x14ac:dyDescent="0.2">
      <c r="D1432" s="148"/>
      <c r="E1432" s="154"/>
    </row>
    <row r="1433" spans="4:5" x14ac:dyDescent="0.2">
      <c r="D1433" s="148"/>
      <c r="E1433" s="154"/>
    </row>
    <row r="1434" spans="4:5" x14ac:dyDescent="0.2">
      <c r="D1434" s="148"/>
      <c r="E1434" s="154"/>
    </row>
    <row r="1435" spans="4:5" x14ac:dyDescent="0.2">
      <c r="D1435" s="148"/>
      <c r="E1435" s="154"/>
    </row>
    <row r="1436" spans="4:5" x14ac:dyDescent="0.2">
      <c r="D1436" s="148"/>
      <c r="E1436" s="154"/>
    </row>
    <row r="1437" spans="4:5" x14ac:dyDescent="0.2">
      <c r="D1437" s="148"/>
      <c r="E1437" s="154"/>
    </row>
    <row r="1438" spans="4:5" x14ac:dyDescent="0.2">
      <c r="D1438" s="148"/>
      <c r="E1438" s="154"/>
    </row>
    <row r="1439" spans="4:5" x14ac:dyDescent="0.2">
      <c r="D1439" s="148"/>
      <c r="E1439" s="154"/>
    </row>
    <row r="1440" spans="4:5" x14ac:dyDescent="0.2">
      <c r="D1440" s="148"/>
      <c r="E1440" s="154"/>
    </row>
    <row r="1441" spans="4:5" x14ac:dyDescent="0.2">
      <c r="D1441" s="148"/>
      <c r="E1441" s="154"/>
    </row>
    <row r="1442" spans="4:5" x14ac:dyDescent="0.2">
      <c r="D1442" s="148"/>
      <c r="E1442" s="154"/>
    </row>
    <row r="1443" spans="4:5" x14ac:dyDescent="0.2">
      <c r="D1443" s="148"/>
      <c r="E1443" s="154"/>
    </row>
    <row r="1444" spans="4:5" x14ac:dyDescent="0.2">
      <c r="D1444" s="148"/>
      <c r="E1444" s="154"/>
    </row>
    <row r="1445" spans="4:5" x14ac:dyDescent="0.2">
      <c r="D1445" s="148"/>
      <c r="E1445" s="154"/>
    </row>
    <row r="1446" spans="4:5" x14ac:dyDescent="0.2">
      <c r="D1446" s="148"/>
      <c r="E1446" s="154"/>
    </row>
    <row r="1447" spans="4:5" x14ac:dyDescent="0.2">
      <c r="D1447" s="148"/>
      <c r="E1447" s="154"/>
    </row>
    <row r="1448" spans="4:5" x14ac:dyDescent="0.2">
      <c r="D1448" s="148"/>
      <c r="E1448" s="154"/>
    </row>
    <row r="1449" spans="4:5" x14ac:dyDescent="0.2">
      <c r="D1449" s="148"/>
      <c r="E1449" s="154"/>
    </row>
    <row r="1450" spans="4:5" x14ac:dyDescent="0.2">
      <c r="D1450" s="148"/>
      <c r="E1450" s="154"/>
    </row>
    <row r="1451" spans="4:5" x14ac:dyDescent="0.2">
      <c r="D1451" s="148"/>
      <c r="E1451" s="154"/>
    </row>
    <row r="1452" spans="4:5" x14ac:dyDescent="0.2">
      <c r="D1452" s="148"/>
      <c r="E1452" s="154"/>
    </row>
    <row r="1453" spans="4:5" x14ac:dyDescent="0.2">
      <c r="D1453" s="148"/>
      <c r="E1453" s="154"/>
    </row>
    <row r="1454" spans="4:5" x14ac:dyDescent="0.2">
      <c r="D1454" s="148"/>
      <c r="E1454" s="154"/>
    </row>
    <row r="1455" spans="4:5" x14ac:dyDescent="0.2">
      <c r="D1455" s="148"/>
      <c r="E1455" s="154"/>
    </row>
    <row r="1456" spans="4:5" x14ac:dyDescent="0.2">
      <c r="D1456" s="148"/>
      <c r="E1456" s="154"/>
    </row>
    <row r="1457" spans="4:5" x14ac:dyDescent="0.2">
      <c r="D1457" s="148"/>
      <c r="E1457" s="154"/>
    </row>
    <row r="1458" spans="4:5" x14ac:dyDescent="0.2">
      <c r="D1458" s="148"/>
      <c r="E1458" s="154"/>
    </row>
    <row r="1459" spans="4:5" x14ac:dyDescent="0.2">
      <c r="D1459" s="148"/>
      <c r="E1459" s="154"/>
    </row>
    <row r="1460" spans="4:5" x14ac:dyDescent="0.2">
      <c r="D1460" s="148"/>
      <c r="E1460" s="154"/>
    </row>
    <row r="1461" spans="4:5" x14ac:dyDescent="0.2">
      <c r="D1461" s="148"/>
      <c r="E1461" s="154"/>
    </row>
    <row r="1462" spans="4:5" x14ac:dyDescent="0.2">
      <c r="D1462" s="148"/>
      <c r="E1462" s="154"/>
    </row>
    <row r="1463" spans="4:5" x14ac:dyDescent="0.2">
      <c r="D1463" s="148"/>
      <c r="E1463" s="154"/>
    </row>
    <row r="1464" spans="4:5" x14ac:dyDescent="0.2">
      <c r="D1464" s="148"/>
      <c r="E1464" s="154"/>
    </row>
    <row r="1465" spans="4:5" x14ac:dyDescent="0.2">
      <c r="D1465" s="148"/>
      <c r="E1465" s="154"/>
    </row>
    <row r="1466" spans="4:5" x14ac:dyDescent="0.2">
      <c r="D1466" s="148"/>
      <c r="E1466" s="154"/>
    </row>
    <row r="1467" spans="4:5" x14ac:dyDescent="0.2">
      <c r="D1467" s="148"/>
      <c r="E1467" s="154"/>
    </row>
    <row r="1468" spans="4:5" x14ac:dyDescent="0.2">
      <c r="D1468" s="148"/>
      <c r="E1468" s="154"/>
    </row>
    <row r="1469" spans="4:5" x14ac:dyDescent="0.2">
      <c r="D1469" s="148"/>
      <c r="E1469" s="154"/>
    </row>
    <row r="1470" spans="4:5" x14ac:dyDescent="0.2">
      <c r="D1470" s="148"/>
      <c r="E1470" s="154"/>
    </row>
    <row r="1471" spans="4:5" x14ac:dyDescent="0.2">
      <c r="D1471" s="148"/>
      <c r="E1471" s="154"/>
    </row>
    <row r="1472" spans="4:5" x14ac:dyDescent="0.2">
      <c r="D1472" s="148"/>
      <c r="E1472" s="154"/>
    </row>
    <row r="1473" spans="4:5" x14ac:dyDescent="0.2">
      <c r="D1473" s="148"/>
      <c r="E1473" s="154"/>
    </row>
    <row r="1474" spans="4:5" x14ac:dyDescent="0.2">
      <c r="D1474" s="148"/>
      <c r="E1474" s="154"/>
    </row>
    <row r="1475" spans="4:5" x14ac:dyDescent="0.2">
      <c r="D1475" s="148"/>
      <c r="E1475" s="154"/>
    </row>
    <row r="1476" spans="4:5" x14ac:dyDescent="0.2">
      <c r="D1476" s="148"/>
      <c r="E1476" s="154"/>
    </row>
    <row r="1477" spans="4:5" x14ac:dyDescent="0.2">
      <c r="D1477" s="148"/>
      <c r="E1477" s="154"/>
    </row>
    <row r="1478" spans="4:5" x14ac:dyDescent="0.2">
      <c r="D1478" s="148"/>
      <c r="E1478" s="154"/>
    </row>
    <row r="1479" spans="4:5" x14ac:dyDescent="0.2">
      <c r="D1479" s="148"/>
      <c r="E1479" s="154"/>
    </row>
    <row r="1480" spans="4:5" x14ac:dyDescent="0.2">
      <c r="D1480" s="148"/>
      <c r="E1480" s="154"/>
    </row>
    <row r="1481" spans="4:5" x14ac:dyDescent="0.2">
      <c r="D1481" s="148"/>
      <c r="E1481" s="154"/>
    </row>
    <row r="1482" spans="4:5" x14ac:dyDescent="0.2">
      <c r="D1482" s="148"/>
      <c r="E1482" s="154"/>
    </row>
    <row r="1483" spans="4:5" x14ac:dyDescent="0.2">
      <c r="D1483" s="148"/>
      <c r="E1483" s="154"/>
    </row>
    <row r="1484" spans="4:5" x14ac:dyDescent="0.2">
      <c r="D1484" s="148"/>
      <c r="E1484" s="154"/>
    </row>
    <row r="1485" spans="4:5" x14ac:dyDescent="0.2">
      <c r="D1485" s="148"/>
      <c r="E1485" s="154"/>
    </row>
    <row r="1486" spans="4:5" x14ac:dyDescent="0.2">
      <c r="D1486" s="148"/>
      <c r="E1486" s="154"/>
    </row>
    <row r="1487" spans="4:5" x14ac:dyDescent="0.2">
      <c r="D1487" s="148"/>
      <c r="E1487" s="154"/>
    </row>
    <row r="1488" spans="4:5" x14ac:dyDescent="0.2">
      <c r="D1488" s="148"/>
      <c r="E1488" s="154"/>
    </row>
    <row r="1489" spans="4:5" x14ac:dyDescent="0.2">
      <c r="D1489" s="148"/>
      <c r="E1489" s="154"/>
    </row>
    <row r="1490" spans="4:5" x14ac:dyDescent="0.2">
      <c r="D1490" s="148"/>
      <c r="E1490" s="154"/>
    </row>
    <row r="1491" spans="4:5" x14ac:dyDescent="0.2">
      <c r="D1491" s="148"/>
      <c r="E1491" s="154"/>
    </row>
    <row r="1492" spans="4:5" x14ac:dyDescent="0.2">
      <c r="D1492" s="148"/>
      <c r="E1492" s="154"/>
    </row>
    <row r="1493" spans="4:5" x14ac:dyDescent="0.2">
      <c r="D1493" s="148"/>
      <c r="E1493" s="154"/>
    </row>
    <row r="1494" spans="4:5" x14ac:dyDescent="0.2">
      <c r="D1494" s="148"/>
      <c r="E1494" s="154"/>
    </row>
    <row r="1495" spans="4:5" x14ac:dyDescent="0.2">
      <c r="D1495" s="148"/>
      <c r="E1495" s="154"/>
    </row>
    <row r="1496" spans="4:5" x14ac:dyDescent="0.2">
      <c r="D1496" s="148"/>
      <c r="E1496" s="154"/>
    </row>
    <row r="1497" spans="4:5" x14ac:dyDescent="0.2">
      <c r="D1497" s="148"/>
      <c r="E1497" s="154"/>
    </row>
    <row r="1498" spans="4:5" x14ac:dyDescent="0.2">
      <c r="D1498" s="148"/>
      <c r="E1498" s="154"/>
    </row>
    <row r="1499" spans="4:5" x14ac:dyDescent="0.2">
      <c r="D1499" s="148"/>
      <c r="E1499" s="154"/>
    </row>
    <row r="1500" spans="4:5" x14ac:dyDescent="0.2">
      <c r="D1500" s="148"/>
      <c r="E1500" s="154"/>
    </row>
    <row r="1501" spans="4:5" x14ac:dyDescent="0.2">
      <c r="D1501" s="148"/>
      <c r="E1501" s="154"/>
    </row>
    <row r="1502" spans="4:5" x14ac:dyDescent="0.2">
      <c r="D1502" s="148"/>
      <c r="E1502" s="154"/>
    </row>
    <row r="1503" spans="4:5" x14ac:dyDescent="0.2">
      <c r="D1503" s="148"/>
      <c r="E1503" s="154"/>
    </row>
    <row r="1504" spans="4:5" x14ac:dyDescent="0.2">
      <c r="D1504" s="148"/>
      <c r="E1504" s="154"/>
    </row>
    <row r="1505" spans="4:5" x14ac:dyDescent="0.2">
      <c r="D1505" s="148"/>
      <c r="E1505" s="154"/>
    </row>
    <row r="1506" spans="4:5" x14ac:dyDescent="0.2">
      <c r="D1506" s="148"/>
      <c r="E1506" s="154"/>
    </row>
    <row r="1507" spans="4:5" x14ac:dyDescent="0.2">
      <c r="D1507" s="148"/>
      <c r="E1507" s="154"/>
    </row>
    <row r="1508" spans="4:5" x14ac:dyDescent="0.2">
      <c r="D1508" s="148"/>
      <c r="E1508" s="154"/>
    </row>
    <row r="1509" spans="4:5" x14ac:dyDescent="0.2">
      <c r="D1509" s="148"/>
      <c r="E1509" s="154"/>
    </row>
    <row r="1510" spans="4:5" x14ac:dyDescent="0.2">
      <c r="D1510" s="148"/>
      <c r="E1510" s="154"/>
    </row>
    <row r="1511" spans="4:5" x14ac:dyDescent="0.2">
      <c r="D1511" s="148"/>
      <c r="E1511" s="154"/>
    </row>
    <row r="1512" spans="4:5" x14ac:dyDescent="0.2">
      <c r="D1512" s="148"/>
      <c r="E1512" s="154"/>
    </row>
    <row r="1513" spans="4:5" x14ac:dyDescent="0.2">
      <c r="D1513" s="148"/>
      <c r="E1513" s="154"/>
    </row>
    <row r="1514" spans="4:5" x14ac:dyDescent="0.2">
      <c r="D1514" s="148"/>
      <c r="E1514" s="154"/>
    </row>
    <row r="1515" spans="4:5" x14ac:dyDescent="0.2">
      <c r="D1515" s="148"/>
      <c r="E1515" s="154"/>
    </row>
    <row r="1516" spans="4:5" x14ac:dyDescent="0.2">
      <c r="D1516" s="148"/>
      <c r="E1516" s="154"/>
    </row>
    <row r="1517" spans="4:5" x14ac:dyDescent="0.2">
      <c r="D1517" s="148"/>
      <c r="E1517" s="154"/>
    </row>
    <row r="1518" spans="4:5" x14ac:dyDescent="0.2">
      <c r="D1518" s="148"/>
      <c r="E1518" s="154"/>
    </row>
    <row r="1519" spans="4:5" x14ac:dyDescent="0.2">
      <c r="D1519" s="148"/>
      <c r="E1519" s="154"/>
    </row>
    <row r="1520" spans="4:5" x14ac:dyDescent="0.2">
      <c r="D1520" s="148"/>
      <c r="E1520" s="154"/>
    </row>
    <row r="1521" spans="4:5" x14ac:dyDescent="0.2">
      <c r="D1521" s="148"/>
      <c r="E1521" s="154"/>
    </row>
    <row r="1522" spans="4:5" x14ac:dyDescent="0.2">
      <c r="D1522" s="148"/>
      <c r="E1522" s="154"/>
    </row>
    <row r="1523" spans="4:5" x14ac:dyDescent="0.2">
      <c r="D1523" s="148"/>
      <c r="E1523" s="154"/>
    </row>
    <row r="1524" spans="4:5" x14ac:dyDescent="0.2">
      <c r="D1524" s="148"/>
      <c r="E1524" s="154"/>
    </row>
    <row r="1525" spans="4:5" x14ac:dyDescent="0.2">
      <c r="D1525" s="148"/>
      <c r="E1525" s="154"/>
    </row>
    <row r="1526" spans="4:5" x14ac:dyDescent="0.2">
      <c r="D1526" s="148"/>
      <c r="E1526" s="154"/>
    </row>
    <row r="1527" spans="4:5" x14ac:dyDescent="0.2">
      <c r="D1527" s="148"/>
      <c r="E1527" s="154"/>
    </row>
    <row r="1528" spans="4:5" x14ac:dyDescent="0.2">
      <c r="D1528" s="148"/>
      <c r="E1528" s="154"/>
    </row>
    <row r="1529" spans="4:5" x14ac:dyDescent="0.2">
      <c r="D1529" s="148"/>
      <c r="E1529" s="154"/>
    </row>
    <row r="1530" spans="4:5" x14ac:dyDescent="0.2">
      <c r="D1530" s="148"/>
      <c r="E1530" s="154"/>
    </row>
    <row r="1531" spans="4:5" x14ac:dyDescent="0.2">
      <c r="D1531" s="148"/>
      <c r="E1531" s="154"/>
    </row>
    <row r="1532" spans="4:5" x14ac:dyDescent="0.2">
      <c r="D1532" s="148"/>
      <c r="E1532" s="154"/>
    </row>
    <row r="1533" spans="4:5" x14ac:dyDescent="0.2">
      <c r="D1533" s="148"/>
      <c r="E1533" s="154"/>
    </row>
    <row r="1534" spans="4:5" x14ac:dyDescent="0.2">
      <c r="D1534" s="148"/>
      <c r="E1534" s="154"/>
    </row>
    <row r="1535" spans="4:5" x14ac:dyDescent="0.2">
      <c r="D1535" s="148"/>
      <c r="E1535" s="154"/>
    </row>
    <row r="1536" spans="4:5" x14ac:dyDescent="0.2">
      <c r="D1536" s="148"/>
      <c r="E1536" s="154"/>
    </row>
    <row r="1537" spans="4:5" x14ac:dyDescent="0.2">
      <c r="D1537" s="148"/>
      <c r="E1537" s="154"/>
    </row>
    <row r="1538" spans="4:5" x14ac:dyDescent="0.2">
      <c r="D1538" s="148"/>
      <c r="E1538" s="154"/>
    </row>
    <row r="1539" spans="4:5" x14ac:dyDescent="0.2">
      <c r="D1539" s="148"/>
      <c r="E1539" s="154"/>
    </row>
    <row r="1540" spans="4:5" x14ac:dyDescent="0.2">
      <c r="D1540" s="148"/>
      <c r="E1540" s="154"/>
    </row>
    <row r="1541" spans="4:5" x14ac:dyDescent="0.2">
      <c r="D1541" s="148"/>
      <c r="E1541" s="154"/>
    </row>
    <row r="1542" spans="4:5" x14ac:dyDescent="0.2">
      <c r="D1542" s="148"/>
      <c r="E1542" s="154"/>
    </row>
    <row r="1543" spans="4:5" x14ac:dyDescent="0.2">
      <c r="D1543" s="148"/>
      <c r="E1543" s="154"/>
    </row>
    <row r="1544" spans="4:5" x14ac:dyDescent="0.2">
      <c r="D1544" s="148"/>
      <c r="E1544" s="154"/>
    </row>
    <row r="1545" spans="4:5" x14ac:dyDescent="0.2">
      <c r="D1545" s="148"/>
      <c r="E1545" s="154"/>
    </row>
    <row r="1546" spans="4:5" x14ac:dyDescent="0.2">
      <c r="D1546" s="148"/>
      <c r="E1546" s="154"/>
    </row>
    <row r="1547" spans="4:5" x14ac:dyDescent="0.2">
      <c r="D1547" s="148"/>
      <c r="E1547" s="154"/>
    </row>
    <row r="1548" spans="4:5" x14ac:dyDescent="0.2">
      <c r="D1548" s="148"/>
      <c r="E1548" s="154"/>
    </row>
    <row r="1549" spans="4:5" x14ac:dyDescent="0.2">
      <c r="D1549" s="148"/>
      <c r="E1549" s="154"/>
    </row>
    <row r="1550" spans="4:5" x14ac:dyDescent="0.2">
      <c r="D1550" s="148"/>
      <c r="E1550" s="154"/>
    </row>
    <row r="1551" spans="4:5" x14ac:dyDescent="0.2">
      <c r="D1551" s="148"/>
      <c r="E1551" s="154"/>
    </row>
    <row r="1552" spans="4:5" x14ac:dyDescent="0.2">
      <c r="D1552" s="148"/>
      <c r="E1552" s="154"/>
    </row>
    <row r="1553" spans="4:5" x14ac:dyDescent="0.2">
      <c r="D1553" s="148"/>
      <c r="E1553" s="154"/>
    </row>
    <row r="1554" spans="4:5" x14ac:dyDescent="0.2">
      <c r="D1554" s="148"/>
      <c r="E1554" s="154"/>
    </row>
    <row r="1555" spans="4:5" x14ac:dyDescent="0.2">
      <c r="D1555" s="148"/>
      <c r="E1555" s="154"/>
    </row>
    <row r="1556" spans="4:5" x14ac:dyDescent="0.2">
      <c r="D1556" s="148"/>
      <c r="E1556" s="154"/>
    </row>
    <row r="1557" spans="4:5" x14ac:dyDescent="0.2">
      <c r="D1557" s="148"/>
      <c r="E1557" s="154"/>
    </row>
    <row r="1558" spans="4:5" x14ac:dyDescent="0.2">
      <c r="D1558" s="148"/>
      <c r="E1558" s="154"/>
    </row>
    <row r="1559" spans="4:5" x14ac:dyDescent="0.2">
      <c r="D1559" s="148"/>
      <c r="E1559" s="154"/>
    </row>
    <row r="1560" spans="4:5" x14ac:dyDescent="0.2">
      <c r="D1560" s="148"/>
      <c r="E1560" s="154"/>
    </row>
    <row r="1561" spans="4:5" x14ac:dyDescent="0.2">
      <c r="D1561" s="148"/>
      <c r="E1561" s="154"/>
    </row>
    <row r="1562" spans="4:5" x14ac:dyDescent="0.2">
      <c r="D1562" s="148"/>
      <c r="E1562" s="154"/>
    </row>
    <row r="1563" spans="4:5" x14ac:dyDescent="0.2">
      <c r="D1563" s="148"/>
      <c r="E1563" s="154"/>
    </row>
    <row r="1564" spans="4:5" x14ac:dyDescent="0.2">
      <c r="D1564" s="148"/>
      <c r="E1564" s="154"/>
    </row>
    <row r="1565" spans="4:5" x14ac:dyDescent="0.2">
      <c r="D1565" s="148"/>
      <c r="E1565" s="154"/>
    </row>
    <row r="1566" spans="4:5" x14ac:dyDescent="0.2">
      <c r="D1566" s="148"/>
      <c r="E1566" s="154"/>
    </row>
    <row r="1567" spans="4:5" x14ac:dyDescent="0.2">
      <c r="D1567" s="148"/>
      <c r="E1567" s="154"/>
    </row>
    <row r="1568" spans="4:5" x14ac:dyDescent="0.2">
      <c r="D1568" s="148"/>
      <c r="E1568" s="154"/>
    </row>
    <row r="1569" spans="4:5" x14ac:dyDescent="0.2">
      <c r="D1569" s="148"/>
      <c r="E1569" s="154"/>
    </row>
    <row r="1570" spans="4:5" x14ac:dyDescent="0.2">
      <c r="D1570" s="148"/>
      <c r="E1570" s="154"/>
    </row>
    <row r="1571" spans="4:5" x14ac:dyDescent="0.2">
      <c r="D1571" s="148"/>
      <c r="E1571" s="154"/>
    </row>
    <row r="1572" spans="4:5" x14ac:dyDescent="0.2">
      <c r="D1572" s="148"/>
      <c r="E1572" s="154"/>
    </row>
    <row r="1573" spans="4:5" x14ac:dyDescent="0.2">
      <c r="D1573" s="148"/>
      <c r="E1573" s="154"/>
    </row>
    <row r="1574" spans="4:5" x14ac:dyDescent="0.2">
      <c r="D1574" s="148"/>
      <c r="E1574" s="154"/>
    </row>
    <row r="1575" spans="4:5" x14ac:dyDescent="0.2">
      <c r="D1575" s="148"/>
      <c r="E1575" s="154"/>
    </row>
    <row r="1576" spans="4:5" x14ac:dyDescent="0.2">
      <c r="D1576" s="148"/>
      <c r="E1576" s="154"/>
    </row>
    <row r="1577" spans="4:5" x14ac:dyDescent="0.2">
      <c r="D1577" s="148"/>
      <c r="E1577" s="154"/>
    </row>
    <row r="1578" spans="4:5" x14ac:dyDescent="0.2">
      <c r="D1578" s="148"/>
      <c r="E1578" s="154"/>
    </row>
    <row r="1579" spans="4:5" x14ac:dyDescent="0.2">
      <c r="D1579" s="148"/>
      <c r="E1579" s="154"/>
    </row>
    <row r="1580" spans="4:5" x14ac:dyDescent="0.2">
      <c r="D1580" s="148"/>
      <c r="E1580" s="154"/>
    </row>
    <row r="1581" spans="4:5" x14ac:dyDescent="0.2">
      <c r="D1581" s="148"/>
      <c r="E1581" s="154"/>
    </row>
    <row r="1582" spans="4:5" x14ac:dyDescent="0.2">
      <c r="D1582" s="148"/>
      <c r="E1582" s="154"/>
    </row>
    <row r="1583" spans="4:5" x14ac:dyDescent="0.2">
      <c r="D1583" s="148"/>
      <c r="E1583" s="154"/>
    </row>
    <row r="1584" spans="4:5" x14ac:dyDescent="0.2">
      <c r="D1584" s="148"/>
      <c r="E1584" s="154"/>
    </row>
    <row r="1585" spans="4:5" x14ac:dyDescent="0.2">
      <c r="D1585" s="148"/>
      <c r="E1585" s="154"/>
    </row>
    <row r="1586" spans="4:5" x14ac:dyDescent="0.2">
      <c r="D1586" s="148"/>
      <c r="E1586" s="154"/>
    </row>
    <row r="1587" spans="4:5" x14ac:dyDescent="0.2">
      <c r="D1587" s="148"/>
      <c r="E1587" s="154"/>
    </row>
    <row r="1588" spans="4:5" x14ac:dyDescent="0.2">
      <c r="D1588" s="148"/>
      <c r="E1588" s="154"/>
    </row>
    <row r="1589" spans="4:5" x14ac:dyDescent="0.2">
      <c r="D1589" s="148"/>
      <c r="E1589" s="154"/>
    </row>
    <row r="1590" spans="4:5" x14ac:dyDescent="0.2">
      <c r="D1590" s="148"/>
      <c r="E1590" s="154"/>
    </row>
    <row r="1591" spans="4:5" x14ac:dyDescent="0.2">
      <c r="D1591" s="148"/>
      <c r="E1591" s="154"/>
    </row>
    <row r="1592" spans="4:5" x14ac:dyDescent="0.2">
      <c r="D1592" s="148"/>
      <c r="E1592" s="154"/>
    </row>
    <row r="1593" spans="4:5" x14ac:dyDescent="0.2">
      <c r="D1593" s="148"/>
      <c r="E1593" s="154"/>
    </row>
    <row r="1594" spans="4:5" x14ac:dyDescent="0.2">
      <c r="D1594" s="148"/>
      <c r="E1594" s="154"/>
    </row>
    <row r="1595" spans="4:5" x14ac:dyDescent="0.2">
      <c r="D1595" s="148"/>
      <c r="E1595" s="154"/>
    </row>
    <row r="1596" spans="4:5" x14ac:dyDescent="0.2">
      <c r="D1596" s="148"/>
      <c r="E1596" s="154"/>
    </row>
    <row r="1597" spans="4:5" x14ac:dyDescent="0.2">
      <c r="D1597" s="148"/>
      <c r="E1597" s="154"/>
    </row>
    <row r="1598" spans="4:5" x14ac:dyDescent="0.2">
      <c r="D1598" s="148"/>
      <c r="E1598" s="154"/>
    </row>
    <row r="1599" spans="4:5" x14ac:dyDescent="0.2">
      <c r="D1599" s="148"/>
      <c r="E1599" s="154"/>
    </row>
    <row r="1600" spans="4:5" x14ac:dyDescent="0.2">
      <c r="D1600" s="148"/>
      <c r="E1600" s="154"/>
    </row>
    <row r="1601" spans="4:5" x14ac:dyDescent="0.2">
      <c r="D1601" s="148"/>
      <c r="E1601" s="154"/>
    </row>
    <row r="1602" spans="4:5" x14ac:dyDescent="0.2">
      <c r="D1602" s="148"/>
      <c r="E1602" s="154"/>
    </row>
    <row r="1603" spans="4:5" x14ac:dyDescent="0.2">
      <c r="D1603" s="148"/>
      <c r="E1603" s="154"/>
    </row>
    <row r="1604" spans="4:5" x14ac:dyDescent="0.2">
      <c r="D1604" s="148"/>
      <c r="E1604" s="154"/>
    </row>
    <row r="1605" spans="4:5" x14ac:dyDescent="0.2">
      <c r="D1605" s="148"/>
      <c r="E1605" s="154"/>
    </row>
    <row r="1606" spans="4:5" x14ac:dyDescent="0.2">
      <c r="D1606" s="148"/>
      <c r="E1606" s="154"/>
    </row>
    <row r="1607" spans="4:5" x14ac:dyDescent="0.2">
      <c r="D1607" s="148"/>
      <c r="E1607" s="154"/>
    </row>
    <row r="1608" spans="4:5" x14ac:dyDescent="0.2">
      <c r="D1608" s="148"/>
      <c r="E1608" s="154"/>
    </row>
    <row r="1609" spans="4:5" x14ac:dyDescent="0.2">
      <c r="D1609" s="148"/>
      <c r="E1609" s="154"/>
    </row>
    <row r="1610" spans="4:5" x14ac:dyDescent="0.2">
      <c r="D1610" s="148"/>
      <c r="E1610" s="154"/>
    </row>
    <row r="1611" spans="4:5" x14ac:dyDescent="0.2">
      <c r="D1611" s="148"/>
      <c r="E1611" s="154"/>
    </row>
    <row r="1612" spans="4:5" x14ac:dyDescent="0.2">
      <c r="D1612" s="148"/>
      <c r="E1612" s="154"/>
    </row>
    <row r="1613" spans="4:5" x14ac:dyDescent="0.2">
      <c r="D1613" s="148"/>
      <c r="E1613" s="154"/>
    </row>
    <row r="1614" spans="4:5" x14ac:dyDescent="0.2">
      <c r="D1614" s="148"/>
      <c r="E1614" s="154"/>
    </row>
    <row r="1615" spans="4:5" x14ac:dyDescent="0.2">
      <c r="D1615" s="148"/>
      <c r="E1615" s="154"/>
    </row>
    <row r="1616" spans="4:5" x14ac:dyDescent="0.2">
      <c r="D1616" s="148"/>
      <c r="E1616" s="154"/>
    </row>
    <row r="1617" spans="4:5" x14ac:dyDescent="0.2">
      <c r="D1617" s="148"/>
      <c r="E1617" s="154"/>
    </row>
    <row r="1618" spans="4:5" x14ac:dyDescent="0.2">
      <c r="D1618" s="148"/>
      <c r="E1618" s="154"/>
    </row>
    <row r="1619" spans="4:5" x14ac:dyDescent="0.2">
      <c r="D1619" s="148"/>
      <c r="E1619" s="154"/>
    </row>
    <row r="1620" spans="4:5" x14ac:dyDescent="0.2">
      <c r="D1620" s="148"/>
      <c r="E1620" s="154"/>
    </row>
    <row r="1621" spans="4:5" x14ac:dyDescent="0.2">
      <c r="D1621" s="148"/>
      <c r="E1621" s="154"/>
    </row>
    <row r="1622" spans="4:5" x14ac:dyDescent="0.2">
      <c r="D1622" s="148"/>
      <c r="E1622" s="154"/>
    </row>
    <row r="1623" spans="4:5" x14ac:dyDescent="0.2">
      <c r="D1623" s="148"/>
      <c r="E1623" s="154"/>
    </row>
    <row r="1624" spans="4:5" x14ac:dyDescent="0.2">
      <c r="D1624" s="148"/>
      <c r="E1624" s="154"/>
    </row>
    <row r="1625" spans="4:5" x14ac:dyDescent="0.2">
      <c r="D1625" s="148"/>
      <c r="E1625" s="154"/>
    </row>
    <row r="1626" spans="4:5" x14ac:dyDescent="0.2">
      <c r="D1626" s="148"/>
      <c r="E1626" s="154"/>
    </row>
    <row r="1627" spans="4:5" x14ac:dyDescent="0.2">
      <c r="D1627" s="148"/>
      <c r="E1627" s="154"/>
    </row>
    <row r="1628" spans="4:5" x14ac:dyDescent="0.2">
      <c r="D1628" s="148"/>
      <c r="E1628" s="154"/>
    </row>
    <row r="1629" spans="4:5" x14ac:dyDescent="0.2">
      <c r="D1629" s="148"/>
      <c r="E1629" s="154"/>
    </row>
    <row r="1630" spans="4:5" x14ac:dyDescent="0.2">
      <c r="D1630" s="148"/>
      <c r="E1630" s="154"/>
    </row>
    <row r="1631" spans="4:5" x14ac:dyDescent="0.2">
      <c r="D1631" s="148"/>
      <c r="E1631" s="154"/>
    </row>
    <row r="1632" spans="4:5" x14ac:dyDescent="0.2">
      <c r="D1632" s="148"/>
      <c r="E1632" s="154"/>
    </row>
    <row r="1633" spans="4:5" x14ac:dyDescent="0.2">
      <c r="D1633" s="148"/>
      <c r="E1633" s="154"/>
    </row>
    <row r="1634" spans="4:5" x14ac:dyDescent="0.2">
      <c r="D1634" s="148"/>
      <c r="E1634" s="154"/>
    </row>
    <row r="1635" spans="4:5" x14ac:dyDescent="0.2">
      <c r="D1635" s="148"/>
      <c r="E1635" s="154"/>
    </row>
    <row r="1636" spans="4:5" x14ac:dyDescent="0.2">
      <c r="D1636" s="148"/>
      <c r="E1636" s="154"/>
    </row>
    <row r="1637" spans="4:5" x14ac:dyDescent="0.2">
      <c r="D1637" s="148"/>
      <c r="E1637" s="154"/>
    </row>
    <row r="1638" spans="4:5" x14ac:dyDescent="0.2">
      <c r="D1638" s="148"/>
      <c r="E1638" s="154"/>
    </row>
    <row r="1639" spans="4:5" x14ac:dyDescent="0.2">
      <c r="D1639" s="148"/>
      <c r="E1639" s="154"/>
    </row>
    <row r="1640" spans="4:5" x14ac:dyDescent="0.2">
      <c r="D1640" s="148"/>
      <c r="E1640" s="154"/>
    </row>
    <row r="1641" spans="4:5" x14ac:dyDescent="0.2">
      <c r="D1641" s="148"/>
      <c r="E1641" s="154"/>
    </row>
    <row r="1642" spans="4:5" x14ac:dyDescent="0.2">
      <c r="D1642" s="148"/>
      <c r="E1642" s="154"/>
    </row>
    <row r="1643" spans="4:5" x14ac:dyDescent="0.2">
      <c r="D1643" s="148"/>
      <c r="E1643" s="154"/>
    </row>
    <row r="1644" spans="4:5" x14ac:dyDescent="0.2">
      <c r="D1644" s="148"/>
      <c r="E1644" s="154"/>
    </row>
    <row r="1645" spans="4:5" x14ac:dyDescent="0.2">
      <c r="D1645" s="148"/>
      <c r="E1645" s="154"/>
    </row>
    <row r="1646" spans="4:5" x14ac:dyDescent="0.2">
      <c r="D1646" s="148"/>
      <c r="E1646" s="154"/>
    </row>
    <row r="1647" spans="4:5" x14ac:dyDescent="0.2">
      <c r="D1647" s="148"/>
      <c r="E1647" s="154"/>
    </row>
    <row r="1648" spans="4:5" x14ac:dyDescent="0.2">
      <c r="D1648" s="148"/>
      <c r="E1648" s="154"/>
    </row>
    <row r="1649" spans="4:5" x14ac:dyDescent="0.2">
      <c r="D1649" s="148"/>
      <c r="E1649" s="154"/>
    </row>
    <row r="1650" spans="4:5" x14ac:dyDescent="0.2">
      <c r="D1650" s="148"/>
      <c r="E1650" s="154"/>
    </row>
    <row r="1651" spans="4:5" x14ac:dyDescent="0.2">
      <c r="D1651" s="148"/>
      <c r="E1651" s="154"/>
    </row>
    <row r="1652" spans="4:5" x14ac:dyDescent="0.2">
      <c r="D1652" s="148"/>
      <c r="E1652" s="154"/>
    </row>
    <row r="1653" spans="4:5" x14ac:dyDescent="0.2">
      <c r="D1653" s="148"/>
      <c r="E1653" s="154"/>
    </row>
    <row r="1654" spans="4:5" x14ac:dyDescent="0.2">
      <c r="D1654" s="148"/>
      <c r="E1654" s="154"/>
    </row>
    <row r="1655" spans="4:5" x14ac:dyDescent="0.2">
      <c r="D1655" s="148"/>
      <c r="E1655" s="154"/>
    </row>
    <row r="1656" spans="4:5" x14ac:dyDescent="0.2">
      <c r="D1656" s="148"/>
      <c r="E1656" s="154"/>
    </row>
    <row r="1657" spans="4:5" x14ac:dyDescent="0.2">
      <c r="D1657" s="148"/>
      <c r="E1657" s="154"/>
    </row>
    <row r="1658" spans="4:5" x14ac:dyDescent="0.2">
      <c r="D1658" s="148"/>
      <c r="E1658" s="154"/>
    </row>
    <row r="1659" spans="4:5" x14ac:dyDescent="0.2">
      <c r="D1659" s="148"/>
      <c r="E1659" s="154"/>
    </row>
    <row r="1660" spans="4:5" x14ac:dyDescent="0.2">
      <c r="D1660" s="148"/>
      <c r="E1660" s="154"/>
    </row>
    <row r="1661" spans="4:5" x14ac:dyDescent="0.2">
      <c r="D1661" s="148"/>
      <c r="E1661" s="154"/>
    </row>
    <row r="1662" spans="4:5" x14ac:dyDescent="0.2">
      <c r="D1662" s="148"/>
      <c r="E1662" s="154"/>
    </row>
    <row r="1663" spans="4:5" x14ac:dyDescent="0.2">
      <c r="D1663" s="148"/>
      <c r="E1663" s="154"/>
    </row>
    <row r="1664" spans="4:5" x14ac:dyDescent="0.2">
      <c r="D1664" s="148"/>
      <c r="E1664" s="154"/>
    </row>
    <row r="1665" spans="4:5" x14ac:dyDescent="0.2">
      <c r="D1665" s="148"/>
      <c r="E1665" s="154"/>
    </row>
    <row r="1666" spans="4:5" x14ac:dyDescent="0.2">
      <c r="D1666" s="148"/>
      <c r="E1666" s="154"/>
    </row>
    <row r="1667" spans="4:5" x14ac:dyDescent="0.2">
      <c r="D1667" s="148"/>
      <c r="E1667" s="154"/>
    </row>
    <row r="1668" spans="4:5" x14ac:dyDescent="0.2">
      <c r="D1668" s="148"/>
      <c r="E1668" s="154"/>
    </row>
    <row r="1669" spans="4:5" x14ac:dyDescent="0.2">
      <c r="D1669" s="148"/>
      <c r="E1669" s="154"/>
    </row>
    <row r="1670" spans="4:5" x14ac:dyDescent="0.2">
      <c r="D1670" s="148"/>
      <c r="E1670" s="154"/>
    </row>
    <row r="1671" spans="4:5" x14ac:dyDescent="0.2">
      <c r="D1671" s="148"/>
      <c r="E1671" s="154"/>
    </row>
    <row r="1672" spans="4:5" x14ac:dyDescent="0.2">
      <c r="D1672" s="148"/>
      <c r="E1672" s="154"/>
    </row>
    <row r="1673" spans="4:5" x14ac:dyDescent="0.2">
      <c r="D1673" s="148"/>
      <c r="E1673" s="154"/>
    </row>
    <row r="1674" spans="4:5" x14ac:dyDescent="0.2">
      <c r="D1674" s="148"/>
      <c r="E1674" s="154"/>
    </row>
    <row r="1675" spans="4:5" x14ac:dyDescent="0.2">
      <c r="D1675" s="148"/>
      <c r="E1675" s="154"/>
    </row>
    <row r="1676" spans="4:5" x14ac:dyDescent="0.2">
      <c r="D1676" s="148"/>
      <c r="E1676" s="154"/>
    </row>
    <row r="1677" spans="4:5" x14ac:dyDescent="0.2">
      <c r="D1677" s="148"/>
      <c r="E1677" s="154"/>
    </row>
    <row r="1678" spans="4:5" x14ac:dyDescent="0.2">
      <c r="D1678" s="148"/>
      <c r="E1678" s="154"/>
    </row>
    <row r="1679" spans="4:5" x14ac:dyDescent="0.2">
      <c r="D1679" s="148"/>
      <c r="E1679" s="154"/>
    </row>
    <row r="1680" spans="4:5" x14ac:dyDescent="0.2">
      <c r="D1680" s="148"/>
      <c r="E1680" s="154"/>
    </row>
    <row r="1681" spans="4:5" x14ac:dyDescent="0.2">
      <c r="D1681" s="148"/>
      <c r="E1681" s="154"/>
    </row>
    <row r="1682" spans="4:5" x14ac:dyDescent="0.2">
      <c r="D1682" s="148"/>
      <c r="E1682" s="154"/>
    </row>
    <row r="1683" spans="4:5" x14ac:dyDescent="0.2">
      <c r="D1683" s="148"/>
      <c r="E1683" s="154"/>
    </row>
    <row r="1684" spans="4:5" x14ac:dyDescent="0.2">
      <c r="D1684" s="148"/>
      <c r="E1684" s="154"/>
    </row>
    <row r="1685" spans="4:5" x14ac:dyDescent="0.2">
      <c r="D1685" s="148"/>
      <c r="E1685" s="154"/>
    </row>
    <row r="1686" spans="4:5" x14ac:dyDescent="0.2">
      <c r="D1686" s="148"/>
      <c r="E1686" s="154"/>
    </row>
    <row r="1687" spans="4:5" x14ac:dyDescent="0.2">
      <c r="D1687" s="148"/>
      <c r="E1687" s="154"/>
    </row>
    <row r="1688" spans="4:5" x14ac:dyDescent="0.2">
      <c r="D1688" s="148"/>
      <c r="E1688" s="154"/>
    </row>
    <row r="1689" spans="4:5" x14ac:dyDescent="0.2">
      <c r="D1689" s="148"/>
      <c r="E1689" s="154"/>
    </row>
    <row r="1690" spans="4:5" x14ac:dyDescent="0.2">
      <c r="D1690" s="148"/>
      <c r="E1690" s="154"/>
    </row>
    <row r="1691" spans="4:5" x14ac:dyDescent="0.2">
      <c r="D1691" s="148"/>
      <c r="E1691" s="154"/>
    </row>
    <row r="1692" spans="4:5" x14ac:dyDescent="0.2">
      <c r="D1692" s="148"/>
      <c r="E1692" s="154"/>
    </row>
    <row r="1693" spans="4:5" x14ac:dyDescent="0.2">
      <c r="D1693" s="148"/>
      <c r="E1693" s="154"/>
    </row>
    <row r="1694" spans="4:5" x14ac:dyDescent="0.2">
      <c r="D1694" s="148"/>
      <c r="E1694" s="154"/>
    </row>
    <row r="1695" spans="4:5" x14ac:dyDescent="0.2">
      <c r="D1695" s="148"/>
      <c r="E1695" s="154"/>
    </row>
    <row r="1696" spans="4:5" x14ac:dyDescent="0.2">
      <c r="D1696" s="148"/>
      <c r="E1696" s="154"/>
    </row>
    <row r="1697" spans="4:5" x14ac:dyDescent="0.2">
      <c r="D1697" s="148"/>
      <c r="E1697" s="154"/>
    </row>
    <row r="1698" spans="4:5" x14ac:dyDescent="0.2">
      <c r="D1698" s="148"/>
      <c r="E1698" s="154"/>
    </row>
    <row r="1699" spans="4:5" x14ac:dyDescent="0.2">
      <c r="D1699" s="148"/>
      <c r="E1699" s="154"/>
    </row>
    <row r="1700" spans="4:5" x14ac:dyDescent="0.2">
      <c r="D1700" s="148"/>
      <c r="E1700" s="154"/>
    </row>
    <row r="1701" spans="4:5" x14ac:dyDescent="0.2">
      <c r="D1701" s="148"/>
      <c r="E1701" s="154"/>
    </row>
    <row r="1702" spans="4:5" x14ac:dyDescent="0.2">
      <c r="D1702" s="148"/>
      <c r="E1702" s="154"/>
    </row>
    <row r="1703" spans="4:5" x14ac:dyDescent="0.2">
      <c r="D1703" s="148"/>
      <c r="E1703" s="154"/>
    </row>
    <row r="1704" spans="4:5" x14ac:dyDescent="0.2">
      <c r="D1704" s="148"/>
      <c r="E1704" s="154"/>
    </row>
    <row r="1705" spans="4:5" x14ac:dyDescent="0.2">
      <c r="D1705" s="148"/>
      <c r="E1705" s="154"/>
    </row>
    <row r="1706" spans="4:5" x14ac:dyDescent="0.2">
      <c r="D1706" s="148"/>
      <c r="E1706" s="154"/>
    </row>
    <row r="1707" spans="4:5" x14ac:dyDescent="0.2">
      <c r="D1707" s="148"/>
      <c r="E1707" s="154"/>
    </row>
    <row r="1708" spans="4:5" x14ac:dyDescent="0.2">
      <c r="D1708" s="148"/>
      <c r="E1708" s="154"/>
    </row>
    <row r="1709" spans="4:5" x14ac:dyDescent="0.2">
      <c r="D1709" s="148"/>
      <c r="E1709" s="154"/>
    </row>
    <row r="1710" spans="4:5" x14ac:dyDescent="0.2">
      <c r="D1710" s="148"/>
      <c r="E1710" s="154"/>
    </row>
    <row r="1711" spans="4:5" x14ac:dyDescent="0.2">
      <c r="D1711" s="148"/>
      <c r="E1711" s="154"/>
    </row>
    <row r="1712" spans="4:5" x14ac:dyDescent="0.2">
      <c r="D1712" s="148"/>
      <c r="E1712" s="154"/>
    </row>
    <row r="1713" spans="4:5" x14ac:dyDescent="0.2">
      <c r="D1713" s="148"/>
      <c r="E1713" s="154"/>
    </row>
    <row r="1714" spans="4:5" x14ac:dyDescent="0.2">
      <c r="D1714" s="148"/>
      <c r="E1714" s="154"/>
    </row>
    <row r="1715" spans="4:5" x14ac:dyDescent="0.2">
      <c r="D1715" s="148"/>
      <c r="E1715" s="154"/>
    </row>
    <row r="1716" spans="4:5" x14ac:dyDescent="0.2">
      <c r="D1716" s="148"/>
      <c r="E1716" s="154"/>
    </row>
    <row r="1717" spans="4:5" x14ac:dyDescent="0.2">
      <c r="D1717" s="148"/>
      <c r="E1717" s="154"/>
    </row>
    <row r="1718" spans="4:5" x14ac:dyDescent="0.2">
      <c r="D1718" s="148"/>
      <c r="E1718" s="154"/>
    </row>
    <row r="1719" spans="4:5" x14ac:dyDescent="0.2">
      <c r="D1719" s="148"/>
      <c r="E1719" s="154"/>
    </row>
    <row r="1720" spans="4:5" x14ac:dyDescent="0.2">
      <c r="D1720" s="148"/>
      <c r="E1720" s="154"/>
    </row>
    <row r="1721" spans="4:5" x14ac:dyDescent="0.2">
      <c r="D1721" s="148"/>
      <c r="E1721" s="154"/>
    </row>
    <row r="1722" spans="4:5" x14ac:dyDescent="0.2">
      <c r="D1722" s="148"/>
      <c r="E1722" s="154"/>
    </row>
    <row r="1723" spans="4:5" x14ac:dyDescent="0.2">
      <c r="D1723" s="148"/>
      <c r="E1723" s="154"/>
    </row>
    <row r="1724" spans="4:5" x14ac:dyDescent="0.2">
      <c r="D1724" s="148"/>
      <c r="E1724" s="154"/>
    </row>
    <row r="1725" spans="4:5" x14ac:dyDescent="0.2">
      <c r="D1725" s="148"/>
      <c r="E1725" s="154"/>
    </row>
    <row r="1726" spans="4:5" x14ac:dyDescent="0.2">
      <c r="D1726" s="148"/>
      <c r="E1726" s="154"/>
    </row>
    <row r="1727" spans="4:5" x14ac:dyDescent="0.2">
      <c r="D1727" s="148"/>
      <c r="E1727" s="154"/>
    </row>
    <row r="1728" spans="4:5" x14ac:dyDescent="0.2">
      <c r="D1728" s="148"/>
      <c r="E1728" s="154"/>
    </row>
    <row r="1729" spans="4:5" x14ac:dyDescent="0.2">
      <c r="D1729" s="148"/>
      <c r="E1729" s="154"/>
    </row>
    <row r="1730" spans="4:5" x14ac:dyDescent="0.2">
      <c r="D1730" s="148"/>
      <c r="E1730" s="154"/>
    </row>
    <row r="1731" spans="4:5" x14ac:dyDescent="0.2">
      <c r="D1731" s="148"/>
      <c r="E1731" s="154"/>
    </row>
    <row r="1732" spans="4:5" x14ac:dyDescent="0.2">
      <c r="D1732" s="148"/>
      <c r="E1732" s="154"/>
    </row>
    <row r="1733" spans="4:5" x14ac:dyDescent="0.2">
      <c r="D1733" s="148"/>
      <c r="E1733" s="154"/>
    </row>
    <row r="1734" spans="4:5" x14ac:dyDescent="0.2">
      <c r="D1734" s="148"/>
      <c r="E1734" s="154"/>
    </row>
    <row r="1735" spans="4:5" x14ac:dyDescent="0.2">
      <c r="D1735" s="148"/>
      <c r="E1735" s="154"/>
    </row>
    <row r="1736" spans="4:5" x14ac:dyDescent="0.2">
      <c r="D1736" s="148"/>
      <c r="E1736" s="154"/>
    </row>
    <row r="1737" spans="4:5" x14ac:dyDescent="0.2">
      <c r="D1737" s="148"/>
      <c r="E1737" s="154"/>
    </row>
    <row r="1738" spans="4:5" x14ac:dyDescent="0.2">
      <c r="D1738" s="148"/>
      <c r="E1738" s="154"/>
    </row>
    <row r="1739" spans="4:5" x14ac:dyDescent="0.2">
      <c r="D1739" s="148"/>
      <c r="E1739" s="154"/>
    </row>
    <row r="1740" spans="4:5" x14ac:dyDescent="0.2">
      <c r="D1740" s="148"/>
      <c r="E1740" s="154"/>
    </row>
    <row r="1741" spans="4:5" x14ac:dyDescent="0.2">
      <c r="D1741" s="148"/>
      <c r="E1741" s="154"/>
    </row>
    <row r="1742" spans="4:5" x14ac:dyDescent="0.2">
      <c r="D1742" s="148"/>
      <c r="E1742" s="154"/>
    </row>
    <row r="1743" spans="4:5" x14ac:dyDescent="0.2">
      <c r="D1743" s="148"/>
      <c r="E1743" s="154"/>
    </row>
    <row r="1744" spans="4:5" x14ac:dyDescent="0.2">
      <c r="D1744" s="148"/>
      <c r="E1744" s="154"/>
    </row>
    <row r="1745" spans="4:5" x14ac:dyDescent="0.2">
      <c r="D1745" s="148"/>
      <c r="E1745" s="154"/>
    </row>
    <row r="1746" spans="4:5" x14ac:dyDescent="0.2">
      <c r="D1746" s="148"/>
      <c r="E1746" s="154"/>
    </row>
    <row r="1747" spans="4:5" x14ac:dyDescent="0.2">
      <c r="D1747" s="148"/>
      <c r="E1747" s="154"/>
    </row>
    <row r="1748" spans="4:5" x14ac:dyDescent="0.2">
      <c r="D1748" s="148"/>
      <c r="E1748" s="154"/>
    </row>
    <row r="1749" spans="4:5" x14ac:dyDescent="0.2">
      <c r="D1749" s="148"/>
      <c r="E1749" s="154"/>
    </row>
    <row r="1750" spans="4:5" x14ac:dyDescent="0.2">
      <c r="D1750" s="148"/>
      <c r="E1750" s="154"/>
    </row>
    <row r="1751" spans="4:5" x14ac:dyDescent="0.2">
      <c r="D1751" s="148"/>
      <c r="E1751" s="154"/>
    </row>
    <row r="1752" spans="4:5" x14ac:dyDescent="0.2">
      <c r="D1752" s="148"/>
      <c r="E1752" s="154"/>
    </row>
    <row r="1753" spans="4:5" x14ac:dyDescent="0.2">
      <c r="D1753" s="148"/>
      <c r="E1753" s="154"/>
    </row>
    <row r="1754" spans="4:5" x14ac:dyDescent="0.2">
      <c r="D1754" s="148"/>
      <c r="E1754" s="154"/>
    </row>
    <row r="1755" spans="4:5" x14ac:dyDescent="0.2">
      <c r="D1755" s="148"/>
      <c r="E1755" s="154"/>
    </row>
    <row r="1756" spans="4:5" x14ac:dyDescent="0.2">
      <c r="D1756" s="148"/>
      <c r="E1756" s="154"/>
    </row>
    <row r="1757" spans="4:5" x14ac:dyDescent="0.2">
      <c r="D1757" s="148"/>
      <c r="E1757" s="154"/>
    </row>
    <row r="1758" spans="4:5" x14ac:dyDescent="0.2">
      <c r="D1758" s="148"/>
      <c r="E1758" s="154"/>
    </row>
    <row r="1759" spans="4:5" x14ac:dyDescent="0.2">
      <c r="D1759" s="148"/>
      <c r="E1759" s="154"/>
    </row>
    <row r="1760" spans="4:5" x14ac:dyDescent="0.2">
      <c r="D1760" s="148"/>
      <c r="E1760" s="154"/>
    </row>
    <row r="1761" spans="4:5" x14ac:dyDescent="0.2">
      <c r="D1761" s="148"/>
      <c r="E1761" s="154"/>
    </row>
    <row r="1762" spans="4:5" x14ac:dyDescent="0.2">
      <c r="D1762" s="148"/>
      <c r="E1762" s="154"/>
    </row>
    <row r="1763" spans="4:5" x14ac:dyDescent="0.2">
      <c r="D1763" s="148"/>
      <c r="E1763" s="154"/>
    </row>
    <row r="1764" spans="4:5" x14ac:dyDescent="0.2">
      <c r="D1764" s="148"/>
      <c r="E1764" s="154"/>
    </row>
    <row r="1765" spans="4:5" x14ac:dyDescent="0.2">
      <c r="D1765" s="148"/>
      <c r="E1765" s="154"/>
    </row>
    <row r="1766" spans="4:5" x14ac:dyDescent="0.2">
      <c r="D1766" s="148"/>
      <c r="E1766" s="154"/>
    </row>
    <row r="1767" spans="4:5" x14ac:dyDescent="0.2">
      <c r="D1767" s="148"/>
      <c r="E1767" s="154"/>
    </row>
    <row r="1768" spans="4:5" x14ac:dyDescent="0.2">
      <c r="D1768" s="148"/>
      <c r="E1768" s="154"/>
    </row>
    <row r="1769" spans="4:5" x14ac:dyDescent="0.2">
      <c r="D1769" s="148"/>
      <c r="E1769" s="154"/>
    </row>
    <row r="1770" spans="4:5" x14ac:dyDescent="0.2">
      <c r="D1770" s="148"/>
      <c r="E1770" s="154"/>
    </row>
    <row r="1771" spans="4:5" x14ac:dyDescent="0.2">
      <c r="D1771" s="148"/>
      <c r="E1771" s="154"/>
    </row>
    <row r="1772" spans="4:5" x14ac:dyDescent="0.2">
      <c r="D1772" s="148"/>
      <c r="E1772" s="154"/>
    </row>
    <row r="1773" spans="4:5" x14ac:dyDescent="0.2">
      <c r="D1773" s="148"/>
      <c r="E1773" s="154"/>
    </row>
    <row r="1774" spans="4:5" x14ac:dyDescent="0.2">
      <c r="D1774" s="148"/>
      <c r="E1774" s="154"/>
    </row>
    <row r="1775" spans="4:5" x14ac:dyDescent="0.2">
      <c r="D1775" s="148"/>
      <c r="E1775" s="154"/>
    </row>
    <row r="1776" spans="4:5" x14ac:dyDescent="0.2">
      <c r="D1776" s="148"/>
      <c r="E1776" s="154"/>
    </row>
    <row r="1777" spans="4:5" x14ac:dyDescent="0.2">
      <c r="D1777" s="148"/>
      <c r="E1777" s="154"/>
    </row>
    <row r="1778" spans="4:5" x14ac:dyDescent="0.2">
      <c r="D1778" s="148"/>
      <c r="E1778" s="154"/>
    </row>
    <row r="1779" spans="4:5" x14ac:dyDescent="0.2">
      <c r="D1779" s="148"/>
      <c r="E1779" s="154"/>
    </row>
    <row r="1780" spans="4:5" x14ac:dyDescent="0.2">
      <c r="D1780" s="148"/>
      <c r="E1780" s="154"/>
    </row>
    <row r="1781" spans="4:5" x14ac:dyDescent="0.2">
      <c r="D1781" s="148"/>
      <c r="E1781" s="154"/>
    </row>
    <row r="1782" spans="4:5" x14ac:dyDescent="0.2">
      <c r="D1782" s="148"/>
      <c r="E1782" s="154"/>
    </row>
    <row r="1783" spans="4:5" x14ac:dyDescent="0.2">
      <c r="D1783" s="148"/>
      <c r="E1783" s="154"/>
    </row>
    <row r="1784" spans="4:5" x14ac:dyDescent="0.2">
      <c r="D1784" s="148"/>
      <c r="E1784" s="154"/>
    </row>
    <row r="1785" spans="4:5" x14ac:dyDescent="0.2">
      <c r="D1785" s="148"/>
      <c r="E1785" s="154"/>
    </row>
    <row r="1786" spans="4:5" x14ac:dyDescent="0.2">
      <c r="D1786" s="148"/>
      <c r="E1786" s="154"/>
    </row>
    <row r="1787" spans="4:5" x14ac:dyDescent="0.2">
      <c r="D1787" s="148"/>
      <c r="E1787" s="154"/>
    </row>
    <row r="1788" spans="4:5" x14ac:dyDescent="0.2">
      <c r="D1788" s="148"/>
      <c r="E1788" s="154"/>
    </row>
    <row r="1789" spans="4:5" x14ac:dyDescent="0.2">
      <c r="D1789" s="148"/>
      <c r="E1789" s="154"/>
    </row>
    <row r="1790" spans="4:5" x14ac:dyDescent="0.2">
      <c r="D1790" s="148"/>
      <c r="E1790" s="154"/>
    </row>
    <row r="1791" spans="4:5" x14ac:dyDescent="0.2">
      <c r="D1791" s="148"/>
      <c r="E1791" s="154"/>
    </row>
    <row r="1792" spans="4:5" x14ac:dyDescent="0.2">
      <c r="D1792" s="148"/>
      <c r="E1792" s="154"/>
    </row>
    <row r="1793" spans="4:5" x14ac:dyDescent="0.2">
      <c r="D1793" s="148"/>
      <c r="E1793" s="154"/>
    </row>
    <row r="1794" spans="4:5" x14ac:dyDescent="0.2">
      <c r="D1794" s="148"/>
      <c r="E1794" s="154"/>
    </row>
    <row r="1795" spans="4:5" x14ac:dyDescent="0.2">
      <c r="D1795" s="148"/>
      <c r="E1795" s="154"/>
    </row>
    <row r="1796" spans="4:5" x14ac:dyDescent="0.2">
      <c r="D1796" s="148"/>
      <c r="E1796" s="154"/>
    </row>
    <row r="1797" spans="4:5" x14ac:dyDescent="0.2">
      <c r="D1797" s="148"/>
      <c r="E1797" s="154"/>
    </row>
    <row r="1798" spans="4:5" x14ac:dyDescent="0.2">
      <c r="D1798" s="148"/>
      <c r="E1798" s="154"/>
    </row>
    <row r="1799" spans="4:5" x14ac:dyDescent="0.2">
      <c r="D1799" s="148"/>
      <c r="E1799" s="154"/>
    </row>
    <row r="1800" spans="4:5" x14ac:dyDescent="0.2">
      <c r="D1800" s="148"/>
      <c r="E1800" s="154"/>
    </row>
    <row r="1801" spans="4:5" x14ac:dyDescent="0.2">
      <c r="D1801" s="148"/>
      <c r="E1801" s="154"/>
    </row>
    <row r="1802" spans="4:5" x14ac:dyDescent="0.2">
      <c r="D1802" s="148"/>
      <c r="E1802" s="154"/>
    </row>
    <row r="1803" spans="4:5" x14ac:dyDescent="0.2">
      <c r="D1803" s="148"/>
      <c r="E1803" s="154"/>
    </row>
    <row r="1804" spans="4:5" x14ac:dyDescent="0.2">
      <c r="D1804" s="148"/>
      <c r="E1804" s="154"/>
    </row>
    <row r="1805" spans="4:5" x14ac:dyDescent="0.2">
      <c r="D1805" s="148"/>
      <c r="E1805" s="154"/>
    </row>
    <row r="1806" spans="4:5" x14ac:dyDescent="0.2">
      <c r="D1806" s="148"/>
      <c r="E1806" s="154"/>
    </row>
    <row r="1807" spans="4:5" x14ac:dyDescent="0.2">
      <c r="D1807" s="148"/>
      <c r="E1807" s="154"/>
    </row>
    <row r="1808" spans="4:5" x14ac:dyDescent="0.2">
      <c r="D1808" s="148"/>
      <c r="E1808" s="154"/>
    </row>
    <row r="1809" spans="4:5" x14ac:dyDescent="0.2">
      <c r="D1809" s="148"/>
      <c r="E1809" s="154"/>
    </row>
    <row r="1810" spans="4:5" x14ac:dyDescent="0.2">
      <c r="D1810" s="148"/>
      <c r="E1810" s="154"/>
    </row>
    <row r="1811" spans="4:5" x14ac:dyDescent="0.2">
      <c r="D1811" s="148"/>
      <c r="E1811" s="154"/>
    </row>
    <row r="1812" spans="4:5" x14ac:dyDescent="0.2">
      <c r="D1812" s="148"/>
      <c r="E1812" s="154"/>
    </row>
    <row r="1813" spans="4:5" x14ac:dyDescent="0.2">
      <c r="D1813" s="148"/>
      <c r="E1813" s="154"/>
    </row>
    <row r="1814" spans="4:5" x14ac:dyDescent="0.2">
      <c r="D1814" s="148"/>
      <c r="E1814" s="154"/>
    </row>
    <row r="1815" spans="4:5" x14ac:dyDescent="0.2">
      <c r="D1815" s="148"/>
      <c r="E1815" s="154"/>
    </row>
    <row r="1816" spans="4:5" x14ac:dyDescent="0.2">
      <c r="D1816" s="148"/>
      <c r="E1816" s="154"/>
    </row>
    <row r="1817" spans="4:5" x14ac:dyDescent="0.2">
      <c r="D1817" s="148"/>
      <c r="E1817" s="154"/>
    </row>
    <row r="1818" spans="4:5" x14ac:dyDescent="0.2">
      <c r="D1818" s="148"/>
      <c r="E1818" s="154"/>
    </row>
    <row r="1819" spans="4:5" x14ac:dyDescent="0.2">
      <c r="D1819" s="148"/>
      <c r="E1819" s="154"/>
    </row>
    <row r="1820" spans="4:5" x14ac:dyDescent="0.2">
      <c r="D1820" s="148"/>
      <c r="E1820" s="154"/>
    </row>
    <row r="1821" spans="4:5" x14ac:dyDescent="0.2">
      <c r="D1821" s="148"/>
      <c r="E1821" s="154"/>
    </row>
    <row r="1822" spans="4:5" x14ac:dyDescent="0.2">
      <c r="D1822" s="148"/>
      <c r="E1822" s="154"/>
    </row>
    <row r="1823" spans="4:5" x14ac:dyDescent="0.2">
      <c r="D1823" s="148"/>
      <c r="E1823" s="154"/>
    </row>
    <row r="1824" spans="4:5" x14ac:dyDescent="0.2">
      <c r="D1824" s="148"/>
      <c r="E1824" s="154"/>
    </row>
    <row r="1825" spans="4:5" x14ac:dyDescent="0.2">
      <c r="D1825" s="148"/>
      <c r="E1825" s="154"/>
    </row>
    <row r="1826" spans="4:5" x14ac:dyDescent="0.2">
      <c r="D1826" s="148"/>
      <c r="E1826" s="154"/>
    </row>
    <row r="1827" spans="4:5" x14ac:dyDescent="0.2">
      <c r="D1827" s="148"/>
      <c r="E1827" s="154"/>
    </row>
    <row r="1828" spans="4:5" x14ac:dyDescent="0.2">
      <c r="D1828" s="148"/>
      <c r="E1828" s="154"/>
    </row>
    <row r="1829" spans="4:5" x14ac:dyDescent="0.2">
      <c r="D1829" s="148"/>
      <c r="E1829" s="154"/>
    </row>
    <row r="1830" spans="4:5" x14ac:dyDescent="0.2">
      <c r="D1830" s="148"/>
      <c r="E1830" s="154"/>
    </row>
    <row r="1831" spans="4:5" x14ac:dyDescent="0.2">
      <c r="D1831" s="148"/>
      <c r="E1831" s="154"/>
    </row>
    <row r="1832" spans="4:5" x14ac:dyDescent="0.2">
      <c r="D1832" s="148"/>
      <c r="E1832" s="154"/>
    </row>
    <row r="1833" spans="4:5" x14ac:dyDescent="0.2">
      <c r="D1833" s="148"/>
      <c r="E1833" s="154"/>
    </row>
    <row r="1834" spans="4:5" x14ac:dyDescent="0.2">
      <c r="D1834" s="148"/>
      <c r="E1834" s="154"/>
    </row>
    <row r="1835" spans="4:5" x14ac:dyDescent="0.2">
      <c r="D1835" s="148"/>
      <c r="E1835" s="154"/>
    </row>
    <row r="1836" spans="4:5" x14ac:dyDescent="0.2">
      <c r="D1836" s="148"/>
      <c r="E1836" s="154"/>
    </row>
    <row r="1837" spans="4:5" x14ac:dyDescent="0.2">
      <c r="D1837" s="148"/>
      <c r="E1837" s="154"/>
    </row>
    <row r="1838" spans="4:5" x14ac:dyDescent="0.2">
      <c r="D1838" s="148"/>
      <c r="E1838" s="154"/>
    </row>
    <row r="1839" spans="4:5" x14ac:dyDescent="0.2">
      <c r="D1839" s="148"/>
      <c r="E1839" s="154"/>
    </row>
    <row r="1840" spans="4:5" x14ac:dyDescent="0.2">
      <c r="D1840" s="148"/>
      <c r="E1840" s="154"/>
    </row>
    <row r="1841" spans="4:5" x14ac:dyDescent="0.2">
      <c r="D1841" s="148"/>
      <c r="E1841" s="154"/>
    </row>
    <row r="1842" spans="4:5" x14ac:dyDescent="0.2">
      <c r="D1842" s="148"/>
      <c r="E1842" s="154"/>
    </row>
    <row r="1843" spans="4:5" x14ac:dyDescent="0.2">
      <c r="D1843" s="148"/>
      <c r="E1843" s="154"/>
    </row>
    <row r="1844" spans="4:5" x14ac:dyDescent="0.2">
      <c r="D1844" s="148"/>
      <c r="E1844" s="154"/>
    </row>
    <row r="1845" spans="4:5" x14ac:dyDescent="0.2">
      <c r="D1845" s="148"/>
      <c r="E1845" s="154"/>
    </row>
    <row r="1846" spans="4:5" x14ac:dyDescent="0.2">
      <c r="D1846" s="148"/>
      <c r="E1846" s="154"/>
    </row>
    <row r="1847" spans="4:5" x14ac:dyDescent="0.2">
      <c r="D1847" s="148"/>
      <c r="E1847" s="154"/>
    </row>
    <row r="1848" spans="4:5" x14ac:dyDescent="0.2">
      <c r="D1848" s="148"/>
      <c r="E1848" s="154"/>
    </row>
    <row r="1849" spans="4:5" x14ac:dyDescent="0.2">
      <c r="D1849" s="148"/>
      <c r="E1849" s="154"/>
    </row>
    <row r="1850" spans="4:5" x14ac:dyDescent="0.2">
      <c r="D1850" s="148"/>
      <c r="E1850" s="154"/>
    </row>
    <row r="1851" spans="4:5" x14ac:dyDescent="0.2">
      <c r="D1851" s="148"/>
      <c r="E1851" s="154"/>
    </row>
    <row r="1852" spans="4:5" x14ac:dyDescent="0.2">
      <c r="D1852" s="148"/>
      <c r="E1852" s="154"/>
    </row>
    <row r="1853" spans="4:5" x14ac:dyDescent="0.2">
      <c r="D1853" s="148"/>
      <c r="E1853" s="154"/>
    </row>
    <row r="1854" spans="4:5" x14ac:dyDescent="0.2">
      <c r="D1854" s="148"/>
      <c r="E1854" s="154"/>
    </row>
    <row r="1855" spans="4:5" x14ac:dyDescent="0.2">
      <c r="D1855" s="148"/>
      <c r="E1855" s="154"/>
    </row>
    <row r="1856" spans="4:5" x14ac:dyDescent="0.2">
      <c r="D1856" s="148"/>
      <c r="E1856" s="154"/>
    </row>
    <row r="1857" spans="4:5" x14ac:dyDescent="0.2">
      <c r="D1857" s="148"/>
      <c r="E1857" s="154"/>
    </row>
    <row r="1858" spans="4:5" x14ac:dyDescent="0.2">
      <c r="D1858" s="148"/>
      <c r="E1858" s="154"/>
    </row>
    <row r="1859" spans="4:5" x14ac:dyDescent="0.2">
      <c r="D1859" s="148"/>
      <c r="E1859" s="154"/>
    </row>
    <row r="1860" spans="4:5" x14ac:dyDescent="0.2">
      <c r="D1860" s="148"/>
      <c r="E1860" s="154"/>
    </row>
    <row r="1861" spans="4:5" x14ac:dyDescent="0.2">
      <c r="D1861" s="148"/>
      <c r="E1861" s="154"/>
    </row>
    <row r="1862" spans="4:5" x14ac:dyDescent="0.2">
      <c r="D1862" s="148"/>
      <c r="E1862" s="154"/>
    </row>
    <row r="1863" spans="4:5" x14ac:dyDescent="0.2">
      <c r="D1863" s="148"/>
      <c r="E1863" s="154"/>
    </row>
    <row r="1864" spans="4:5" x14ac:dyDescent="0.2">
      <c r="D1864" s="148"/>
      <c r="E1864" s="154"/>
    </row>
    <row r="1865" spans="4:5" x14ac:dyDescent="0.2">
      <c r="D1865" s="148"/>
      <c r="E1865" s="154"/>
    </row>
    <row r="1866" spans="4:5" x14ac:dyDescent="0.2">
      <c r="D1866" s="148"/>
      <c r="E1866" s="154"/>
    </row>
    <row r="1867" spans="4:5" x14ac:dyDescent="0.2">
      <c r="D1867" s="148"/>
      <c r="E1867" s="154"/>
    </row>
    <row r="1868" spans="4:5" x14ac:dyDescent="0.2">
      <c r="D1868" s="148"/>
      <c r="E1868" s="154"/>
    </row>
    <row r="1869" spans="4:5" x14ac:dyDescent="0.2">
      <c r="D1869" s="148"/>
      <c r="E1869" s="154"/>
    </row>
    <row r="1870" spans="4:5" x14ac:dyDescent="0.2">
      <c r="D1870" s="148"/>
      <c r="E1870" s="154"/>
    </row>
    <row r="1871" spans="4:5" x14ac:dyDescent="0.2">
      <c r="D1871" s="148"/>
      <c r="E1871" s="154"/>
    </row>
    <row r="1872" spans="4:5" x14ac:dyDescent="0.2">
      <c r="D1872" s="148"/>
      <c r="E1872" s="154"/>
    </row>
    <row r="1873" spans="4:5" x14ac:dyDescent="0.2">
      <c r="D1873" s="148"/>
      <c r="E1873" s="154"/>
    </row>
    <row r="1874" spans="4:5" x14ac:dyDescent="0.2">
      <c r="D1874" s="148"/>
      <c r="E1874" s="154"/>
    </row>
    <row r="1875" spans="4:5" x14ac:dyDescent="0.2">
      <c r="D1875" s="148"/>
      <c r="E1875" s="154"/>
    </row>
    <row r="1876" spans="4:5" x14ac:dyDescent="0.2">
      <c r="D1876" s="148"/>
      <c r="E1876" s="154"/>
    </row>
    <row r="1877" spans="4:5" x14ac:dyDescent="0.2">
      <c r="D1877" s="148"/>
      <c r="E1877" s="154"/>
    </row>
    <row r="1878" spans="4:5" x14ac:dyDescent="0.2">
      <c r="D1878" s="148"/>
      <c r="E1878" s="154"/>
    </row>
    <row r="1879" spans="4:5" x14ac:dyDescent="0.2">
      <c r="D1879" s="148"/>
      <c r="E1879" s="154"/>
    </row>
    <row r="1880" spans="4:5" x14ac:dyDescent="0.2">
      <c r="D1880" s="148"/>
      <c r="E1880" s="154"/>
    </row>
    <row r="1881" spans="4:5" x14ac:dyDescent="0.2">
      <c r="D1881" s="148"/>
      <c r="E1881" s="154"/>
    </row>
    <row r="1882" spans="4:5" x14ac:dyDescent="0.2">
      <c r="D1882" s="148"/>
      <c r="E1882" s="154"/>
    </row>
    <row r="1883" spans="4:5" x14ac:dyDescent="0.2">
      <c r="D1883" s="148"/>
      <c r="E1883" s="154"/>
    </row>
    <row r="1884" spans="4:5" x14ac:dyDescent="0.2">
      <c r="D1884" s="148"/>
      <c r="E1884" s="154"/>
    </row>
    <row r="1885" spans="4:5" x14ac:dyDescent="0.2">
      <c r="D1885" s="148"/>
      <c r="E1885" s="154"/>
    </row>
    <row r="1886" spans="4:5" x14ac:dyDescent="0.2">
      <c r="D1886" s="148"/>
      <c r="E1886" s="154"/>
    </row>
    <row r="1887" spans="4:5" x14ac:dyDescent="0.2">
      <c r="D1887" s="148"/>
      <c r="E1887" s="154"/>
    </row>
    <row r="1888" spans="4:5" x14ac:dyDescent="0.2">
      <c r="D1888" s="148"/>
      <c r="E1888" s="154"/>
    </row>
    <row r="1889" spans="4:5" x14ac:dyDescent="0.2">
      <c r="D1889" s="148"/>
      <c r="E1889" s="154"/>
    </row>
    <row r="1890" spans="4:5" x14ac:dyDescent="0.2">
      <c r="D1890" s="148"/>
      <c r="E1890" s="154"/>
    </row>
    <row r="1891" spans="4:5" x14ac:dyDescent="0.2">
      <c r="D1891" s="148"/>
      <c r="E1891" s="154"/>
    </row>
    <row r="1892" spans="4:5" x14ac:dyDescent="0.2">
      <c r="D1892" s="148"/>
      <c r="E1892" s="154"/>
    </row>
    <row r="1893" spans="4:5" x14ac:dyDescent="0.2">
      <c r="D1893" s="148"/>
      <c r="E1893" s="154"/>
    </row>
    <row r="1894" spans="4:5" x14ac:dyDescent="0.2">
      <c r="D1894" s="148"/>
      <c r="E1894" s="154"/>
    </row>
    <row r="1895" spans="4:5" x14ac:dyDescent="0.2">
      <c r="D1895" s="148"/>
      <c r="E1895" s="154"/>
    </row>
    <row r="1896" spans="4:5" x14ac:dyDescent="0.2">
      <c r="D1896" s="148"/>
      <c r="E1896" s="154"/>
    </row>
    <row r="1897" spans="4:5" x14ac:dyDescent="0.2">
      <c r="D1897" s="148"/>
      <c r="E1897" s="154"/>
    </row>
    <row r="1898" spans="4:5" x14ac:dyDescent="0.2">
      <c r="D1898" s="148"/>
      <c r="E1898" s="154"/>
    </row>
    <row r="1899" spans="4:5" x14ac:dyDescent="0.2">
      <c r="D1899" s="148"/>
      <c r="E1899" s="154"/>
    </row>
    <row r="1900" spans="4:5" x14ac:dyDescent="0.2">
      <c r="D1900" s="148"/>
      <c r="E1900" s="154"/>
    </row>
    <row r="1901" spans="4:5" x14ac:dyDescent="0.2">
      <c r="D1901" s="148"/>
      <c r="E1901" s="154"/>
    </row>
    <row r="1902" spans="4:5" x14ac:dyDescent="0.2">
      <c r="D1902" s="148"/>
      <c r="E1902" s="154"/>
    </row>
    <row r="1903" spans="4:5" x14ac:dyDescent="0.2">
      <c r="D1903" s="148"/>
      <c r="E1903" s="154"/>
    </row>
    <row r="1904" spans="4:5" x14ac:dyDescent="0.2">
      <c r="D1904" s="148"/>
      <c r="E1904" s="154"/>
    </row>
    <row r="1905" spans="4:5" x14ac:dyDescent="0.2">
      <c r="D1905" s="148"/>
      <c r="E1905" s="154"/>
    </row>
    <row r="1906" spans="4:5" x14ac:dyDescent="0.2">
      <c r="D1906" s="148"/>
      <c r="E1906" s="154"/>
    </row>
    <row r="1907" spans="4:5" x14ac:dyDescent="0.2">
      <c r="D1907" s="148"/>
      <c r="E1907" s="154"/>
    </row>
    <row r="1908" spans="4:5" x14ac:dyDescent="0.2">
      <c r="D1908" s="148"/>
      <c r="E1908" s="154"/>
    </row>
    <row r="1909" spans="4:5" x14ac:dyDescent="0.2">
      <c r="D1909" s="148"/>
      <c r="E1909" s="154"/>
    </row>
    <row r="1910" spans="4:5" x14ac:dyDescent="0.2">
      <c r="D1910" s="148"/>
      <c r="E1910" s="154"/>
    </row>
    <row r="1911" spans="4:5" x14ac:dyDescent="0.2">
      <c r="D1911" s="148"/>
      <c r="E1911" s="154"/>
    </row>
    <row r="1912" spans="4:5" x14ac:dyDescent="0.2">
      <c r="D1912" s="148"/>
      <c r="E1912" s="154"/>
    </row>
    <row r="1913" spans="4:5" x14ac:dyDescent="0.2">
      <c r="D1913" s="148"/>
      <c r="E1913" s="154"/>
    </row>
    <row r="1914" spans="4:5" x14ac:dyDescent="0.2">
      <c r="D1914" s="148"/>
      <c r="E1914" s="154"/>
    </row>
    <row r="1915" spans="4:5" x14ac:dyDescent="0.2">
      <c r="D1915" s="148"/>
      <c r="E1915" s="154"/>
    </row>
    <row r="1916" spans="4:5" x14ac:dyDescent="0.2">
      <c r="D1916" s="148"/>
      <c r="E1916" s="154"/>
    </row>
    <row r="1917" spans="4:5" x14ac:dyDescent="0.2">
      <c r="D1917" s="148"/>
      <c r="E1917" s="154"/>
    </row>
    <row r="1918" spans="4:5" x14ac:dyDescent="0.2">
      <c r="D1918" s="148"/>
      <c r="E1918" s="154"/>
    </row>
    <row r="1919" spans="4:5" x14ac:dyDescent="0.2">
      <c r="D1919" s="148"/>
      <c r="E1919" s="154"/>
    </row>
    <row r="1920" spans="4:5" x14ac:dyDescent="0.2">
      <c r="D1920" s="148"/>
      <c r="E1920" s="154"/>
    </row>
    <row r="1921" spans="4:5" x14ac:dyDescent="0.2">
      <c r="D1921" s="148"/>
      <c r="E1921" s="154"/>
    </row>
    <row r="1922" spans="4:5" x14ac:dyDescent="0.2">
      <c r="D1922" s="148"/>
      <c r="E1922" s="154"/>
    </row>
    <row r="1923" spans="4:5" x14ac:dyDescent="0.2">
      <c r="D1923" s="148"/>
      <c r="E1923" s="154"/>
    </row>
    <row r="1924" spans="4:5" x14ac:dyDescent="0.2">
      <c r="D1924" s="148"/>
      <c r="E1924" s="154"/>
    </row>
    <row r="1925" spans="4:5" x14ac:dyDescent="0.2">
      <c r="D1925" s="148"/>
      <c r="E1925" s="154"/>
    </row>
    <row r="1926" spans="4:5" x14ac:dyDescent="0.2">
      <c r="D1926" s="148"/>
      <c r="E1926" s="154"/>
    </row>
    <row r="1927" spans="4:5" x14ac:dyDescent="0.2">
      <c r="D1927" s="148"/>
      <c r="E1927" s="154"/>
    </row>
    <row r="1928" spans="4:5" x14ac:dyDescent="0.2">
      <c r="D1928" s="148"/>
      <c r="E1928" s="154"/>
    </row>
    <row r="1929" spans="4:5" x14ac:dyDescent="0.2">
      <c r="D1929" s="148"/>
      <c r="E1929" s="154"/>
    </row>
    <row r="1930" spans="4:5" x14ac:dyDescent="0.2">
      <c r="D1930" s="148"/>
      <c r="E1930" s="154"/>
    </row>
    <row r="1931" spans="4:5" x14ac:dyDescent="0.2">
      <c r="D1931" s="148"/>
      <c r="E1931" s="154"/>
    </row>
    <row r="1932" spans="4:5" x14ac:dyDescent="0.2">
      <c r="D1932" s="148"/>
      <c r="E1932" s="154"/>
    </row>
    <row r="1933" spans="4:5" x14ac:dyDescent="0.2">
      <c r="D1933" s="148"/>
      <c r="E1933" s="154"/>
    </row>
    <row r="1934" spans="4:5" x14ac:dyDescent="0.2">
      <c r="D1934" s="148"/>
      <c r="E1934" s="154"/>
    </row>
    <row r="1935" spans="4:5" x14ac:dyDescent="0.2">
      <c r="D1935" s="148"/>
      <c r="E1935" s="154"/>
    </row>
    <row r="1936" spans="4:5" x14ac:dyDescent="0.2">
      <c r="D1936" s="148"/>
      <c r="E1936" s="154"/>
    </row>
    <row r="1937" spans="4:5" x14ac:dyDescent="0.2">
      <c r="D1937" s="148"/>
      <c r="E1937" s="154"/>
    </row>
    <row r="1938" spans="4:5" x14ac:dyDescent="0.2">
      <c r="D1938" s="148"/>
      <c r="E1938" s="154"/>
    </row>
    <row r="1939" spans="4:5" x14ac:dyDescent="0.2">
      <c r="D1939" s="148"/>
      <c r="E1939" s="154"/>
    </row>
    <row r="1940" spans="4:5" x14ac:dyDescent="0.2">
      <c r="D1940" s="148"/>
      <c r="E1940" s="154"/>
    </row>
    <row r="1941" spans="4:5" x14ac:dyDescent="0.2">
      <c r="D1941" s="148"/>
      <c r="E1941" s="154"/>
    </row>
    <row r="1942" spans="4:5" x14ac:dyDescent="0.2">
      <c r="D1942" s="148"/>
      <c r="E1942" s="154"/>
    </row>
    <row r="1943" spans="4:5" x14ac:dyDescent="0.2">
      <c r="D1943" s="148"/>
      <c r="E1943" s="154"/>
    </row>
    <row r="1944" spans="4:5" x14ac:dyDescent="0.2">
      <c r="D1944" s="148"/>
      <c r="E1944" s="154"/>
    </row>
    <row r="1945" spans="4:5" x14ac:dyDescent="0.2">
      <c r="D1945" s="148"/>
      <c r="E1945" s="154"/>
    </row>
    <row r="1946" spans="4:5" x14ac:dyDescent="0.2">
      <c r="D1946" s="148"/>
      <c r="E1946" s="154"/>
    </row>
    <row r="1947" spans="4:5" x14ac:dyDescent="0.2">
      <c r="D1947" s="148"/>
      <c r="E1947" s="154"/>
    </row>
    <row r="1948" spans="4:5" x14ac:dyDescent="0.2">
      <c r="D1948" s="148"/>
      <c r="E1948" s="154"/>
    </row>
    <row r="1949" spans="4:5" x14ac:dyDescent="0.2">
      <c r="D1949" s="148"/>
      <c r="E1949" s="154"/>
    </row>
    <row r="1950" spans="4:5" x14ac:dyDescent="0.2">
      <c r="D1950" s="148"/>
      <c r="E1950" s="154"/>
    </row>
    <row r="1951" spans="4:5" x14ac:dyDescent="0.2">
      <c r="D1951" s="148"/>
      <c r="E1951" s="154"/>
    </row>
    <row r="1952" spans="4:5" x14ac:dyDescent="0.2">
      <c r="D1952" s="148"/>
      <c r="E1952" s="154"/>
    </row>
    <row r="1953" spans="4:5" x14ac:dyDescent="0.2">
      <c r="D1953" s="148"/>
      <c r="E1953" s="154"/>
    </row>
    <row r="1954" spans="4:5" x14ac:dyDescent="0.2">
      <c r="D1954" s="148"/>
      <c r="E1954" s="154"/>
    </row>
    <row r="1955" spans="4:5" x14ac:dyDescent="0.2">
      <c r="D1955" s="148"/>
      <c r="E1955" s="154"/>
    </row>
    <row r="1956" spans="4:5" x14ac:dyDescent="0.2">
      <c r="D1956" s="148"/>
      <c r="E1956" s="154"/>
    </row>
    <row r="1957" spans="4:5" x14ac:dyDescent="0.2">
      <c r="D1957" s="148"/>
      <c r="E1957" s="154"/>
    </row>
    <row r="1958" spans="4:5" x14ac:dyDescent="0.2">
      <c r="D1958" s="148"/>
      <c r="E1958" s="154"/>
    </row>
    <row r="1959" spans="4:5" x14ac:dyDescent="0.2">
      <c r="D1959" s="148"/>
      <c r="E1959" s="154"/>
    </row>
    <row r="1960" spans="4:5" x14ac:dyDescent="0.2">
      <c r="D1960" s="148"/>
      <c r="E1960" s="154"/>
    </row>
    <row r="1961" spans="4:5" x14ac:dyDescent="0.2">
      <c r="D1961" s="148"/>
      <c r="E1961" s="154"/>
    </row>
    <row r="1962" spans="4:5" x14ac:dyDescent="0.2">
      <c r="D1962" s="148"/>
      <c r="E1962" s="154"/>
    </row>
    <row r="1963" spans="4:5" x14ac:dyDescent="0.2">
      <c r="D1963" s="148"/>
      <c r="E1963" s="154"/>
    </row>
    <row r="1964" spans="4:5" x14ac:dyDescent="0.2">
      <c r="D1964" s="148"/>
      <c r="E1964" s="154"/>
    </row>
    <row r="1965" spans="4:5" x14ac:dyDescent="0.2">
      <c r="D1965" s="148"/>
      <c r="E1965" s="154"/>
    </row>
    <row r="1966" spans="4:5" x14ac:dyDescent="0.2">
      <c r="D1966" s="148"/>
      <c r="E1966" s="154"/>
    </row>
    <row r="1967" spans="4:5" x14ac:dyDescent="0.2">
      <c r="D1967" s="148"/>
      <c r="E1967" s="154"/>
    </row>
    <row r="1968" spans="4:5" x14ac:dyDescent="0.2">
      <c r="D1968" s="148"/>
      <c r="E1968" s="154"/>
    </row>
    <row r="1969" spans="4:5" x14ac:dyDescent="0.2">
      <c r="D1969" s="148"/>
      <c r="E1969" s="154"/>
    </row>
    <row r="1970" spans="4:5" x14ac:dyDescent="0.2">
      <c r="D1970" s="148"/>
      <c r="E1970" s="154"/>
    </row>
    <row r="1971" spans="4:5" x14ac:dyDescent="0.2">
      <c r="D1971" s="148"/>
      <c r="E1971" s="154"/>
    </row>
    <row r="1972" spans="4:5" x14ac:dyDescent="0.2">
      <c r="D1972" s="148"/>
      <c r="E1972" s="154"/>
    </row>
    <row r="1973" spans="4:5" x14ac:dyDescent="0.2">
      <c r="D1973" s="148"/>
      <c r="E1973" s="154"/>
    </row>
    <row r="1974" spans="4:5" x14ac:dyDescent="0.2">
      <c r="D1974" s="148"/>
      <c r="E1974" s="154"/>
    </row>
    <row r="1975" spans="4:5" x14ac:dyDescent="0.2">
      <c r="D1975" s="148"/>
      <c r="E1975" s="154"/>
    </row>
    <row r="1976" spans="4:5" x14ac:dyDescent="0.2">
      <c r="D1976" s="148"/>
      <c r="E1976" s="154"/>
    </row>
    <row r="1977" spans="4:5" x14ac:dyDescent="0.2">
      <c r="D1977" s="148"/>
      <c r="E1977" s="154"/>
    </row>
    <row r="1978" spans="4:5" x14ac:dyDescent="0.2">
      <c r="D1978" s="148"/>
      <c r="E1978" s="154"/>
    </row>
    <row r="1979" spans="4:5" x14ac:dyDescent="0.2">
      <c r="D1979" s="148"/>
      <c r="E1979" s="154"/>
    </row>
    <row r="1980" spans="4:5" x14ac:dyDescent="0.2">
      <c r="D1980" s="148"/>
      <c r="E1980" s="154"/>
    </row>
    <row r="1981" spans="4:5" x14ac:dyDescent="0.2">
      <c r="D1981" s="148"/>
      <c r="E1981" s="154"/>
    </row>
    <row r="1982" spans="4:5" x14ac:dyDescent="0.2">
      <c r="D1982" s="148"/>
      <c r="E1982" s="154"/>
    </row>
    <row r="1983" spans="4:5" x14ac:dyDescent="0.2">
      <c r="D1983" s="148"/>
      <c r="E1983" s="154"/>
    </row>
    <row r="1984" spans="4:5" x14ac:dyDescent="0.2">
      <c r="D1984" s="148"/>
      <c r="E1984" s="154"/>
    </row>
    <row r="1985" spans="4:5" x14ac:dyDescent="0.2">
      <c r="D1985" s="148"/>
      <c r="E1985" s="154"/>
    </row>
    <row r="1986" spans="4:5" x14ac:dyDescent="0.2">
      <c r="D1986" s="148"/>
      <c r="E1986" s="154"/>
    </row>
    <row r="1987" spans="4:5" x14ac:dyDescent="0.2">
      <c r="D1987" s="148"/>
      <c r="E1987" s="154"/>
    </row>
    <row r="1988" spans="4:5" x14ac:dyDescent="0.2">
      <c r="D1988" s="148"/>
      <c r="E1988" s="154"/>
    </row>
    <row r="1989" spans="4:5" x14ac:dyDescent="0.2">
      <c r="D1989" s="148"/>
      <c r="E1989" s="154"/>
    </row>
    <row r="1990" spans="4:5" x14ac:dyDescent="0.2">
      <c r="D1990" s="148"/>
      <c r="E1990" s="154"/>
    </row>
    <row r="1991" spans="4:5" x14ac:dyDescent="0.2">
      <c r="D1991" s="148"/>
      <c r="E1991" s="154"/>
    </row>
    <row r="1992" spans="4:5" x14ac:dyDescent="0.2">
      <c r="D1992" s="148"/>
      <c r="E1992" s="154"/>
    </row>
    <row r="1993" spans="4:5" x14ac:dyDescent="0.2">
      <c r="D1993" s="148"/>
      <c r="E1993" s="154"/>
    </row>
    <row r="1994" spans="4:5" x14ac:dyDescent="0.2">
      <c r="D1994" s="148"/>
      <c r="E1994" s="154"/>
    </row>
    <row r="1995" spans="4:5" x14ac:dyDescent="0.2">
      <c r="D1995" s="148"/>
      <c r="E1995" s="154"/>
    </row>
    <row r="1996" spans="4:5" x14ac:dyDescent="0.2">
      <c r="D1996" s="148"/>
      <c r="E1996" s="154"/>
    </row>
    <row r="1997" spans="4:5" x14ac:dyDescent="0.2">
      <c r="D1997" s="148"/>
      <c r="E1997" s="154"/>
    </row>
    <row r="1998" spans="4:5" x14ac:dyDescent="0.2">
      <c r="D1998" s="148"/>
      <c r="E1998" s="154"/>
    </row>
    <row r="1999" spans="4:5" x14ac:dyDescent="0.2">
      <c r="D1999" s="148"/>
      <c r="E1999" s="154"/>
    </row>
    <row r="2000" spans="4:5" x14ac:dyDescent="0.2">
      <c r="D2000" s="148"/>
      <c r="E2000" s="154"/>
    </row>
    <row r="2001" spans="4:5" x14ac:dyDescent="0.2">
      <c r="D2001" s="148"/>
      <c r="E2001" s="154"/>
    </row>
    <row r="2002" spans="4:5" x14ac:dyDescent="0.2">
      <c r="D2002" s="148"/>
      <c r="E2002" s="154"/>
    </row>
    <row r="2003" spans="4:5" x14ac:dyDescent="0.2">
      <c r="D2003" s="148"/>
      <c r="E2003" s="154"/>
    </row>
    <row r="2004" spans="4:5" x14ac:dyDescent="0.2">
      <c r="D2004" s="148"/>
      <c r="E2004" s="154"/>
    </row>
    <row r="2005" spans="4:5" x14ac:dyDescent="0.2">
      <c r="D2005" s="148"/>
      <c r="E2005" s="154"/>
    </row>
    <row r="2006" spans="4:5" x14ac:dyDescent="0.2">
      <c r="D2006" s="148"/>
      <c r="E2006" s="154"/>
    </row>
    <row r="2007" spans="4:5" x14ac:dyDescent="0.2">
      <c r="D2007" s="148"/>
      <c r="E2007" s="154"/>
    </row>
    <row r="2008" spans="4:5" x14ac:dyDescent="0.2">
      <c r="D2008" s="148"/>
      <c r="E2008" s="154"/>
    </row>
    <row r="2009" spans="4:5" x14ac:dyDescent="0.2">
      <c r="D2009" s="148"/>
      <c r="E2009" s="154"/>
    </row>
    <row r="2010" spans="4:5" x14ac:dyDescent="0.2">
      <c r="D2010" s="148"/>
      <c r="E2010" s="154"/>
    </row>
    <row r="2011" spans="4:5" x14ac:dyDescent="0.2">
      <c r="D2011" s="148"/>
      <c r="E2011" s="154"/>
    </row>
    <row r="2012" spans="4:5" x14ac:dyDescent="0.2">
      <c r="D2012" s="148"/>
      <c r="E2012" s="154"/>
    </row>
    <row r="2013" spans="4:5" x14ac:dyDescent="0.2">
      <c r="D2013" s="148"/>
      <c r="E2013" s="154"/>
    </row>
    <row r="2014" spans="4:5" x14ac:dyDescent="0.2">
      <c r="D2014" s="148"/>
      <c r="E2014" s="154"/>
    </row>
    <row r="2015" spans="4:5" x14ac:dyDescent="0.2">
      <c r="D2015" s="148"/>
      <c r="E2015" s="154"/>
    </row>
    <row r="2016" spans="4:5" x14ac:dyDescent="0.2">
      <c r="D2016" s="148"/>
      <c r="E2016" s="154"/>
    </row>
    <row r="2017" spans="4:5" x14ac:dyDescent="0.2">
      <c r="D2017" s="148"/>
      <c r="E2017" s="154"/>
    </row>
    <row r="2018" spans="4:5" x14ac:dyDescent="0.2">
      <c r="D2018" s="148"/>
      <c r="E2018" s="154"/>
    </row>
    <row r="2019" spans="4:5" x14ac:dyDescent="0.2">
      <c r="D2019" s="148"/>
      <c r="E2019" s="154"/>
    </row>
    <row r="2020" spans="4:5" x14ac:dyDescent="0.2">
      <c r="D2020" s="148"/>
      <c r="E2020" s="154"/>
    </row>
    <row r="2021" spans="4:5" x14ac:dyDescent="0.2">
      <c r="D2021" s="148"/>
      <c r="E2021" s="154"/>
    </row>
    <row r="2022" spans="4:5" x14ac:dyDescent="0.2">
      <c r="D2022" s="148"/>
      <c r="E2022" s="154"/>
    </row>
    <row r="2023" spans="4:5" x14ac:dyDescent="0.2">
      <c r="D2023" s="148"/>
      <c r="E2023" s="154"/>
    </row>
    <row r="2024" spans="4:5" x14ac:dyDescent="0.2">
      <c r="D2024" s="148"/>
      <c r="E2024" s="154"/>
    </row>
    <row r="2025" spans="4:5" x14ac:dyDescent="0.2">
      <c r="D2025" s="148"/>
      <c r="E2025" s="154"/>
    </row>
    <row r="2026" spans="4:5" x14ac:dyDescent="0.2">
      <c r="D2026" s="148"/>
      <c r="E2026" s="154"/>
    </row>
    <row r="2027" spans="4:5" x14ac:dyDescent="0.2">
      <c r="D2027" s="148"/>
      <c r="E2027" s="154"/>
    </row>
    <row r="2028" spans="4:5" x14ac:dyDescent="0.2">
      <c r="D2028" s="148"/>
      <c r="E2028" s="154"/>
    </row>
    <row r="2029" spans="4:5" x14ac:dyDescent="0.2">
      <c r="D2029" s="148"/>
      <c r="E2029" s="154"/>
    </row>
    <row r="2030" spans="4:5" x14ac:dyDescent="0.2">
      <c r="D2030" s="148"/>
      <c r="E2030" s="154"/>
    </row>
    <row r="2031" spans="4:5" x14ac:dyDescent="0.2">
      <c r="D2031" s="148"/>
      <c r="E2031" s="154"/>
    </row>
    <row r="2032" spans="4:5" x14ac:dyDescent="0.2">
      <c r="D2032" s="148"/>
      <c r="E2032" s="154"/>
    </row>
    <row r="2033" spans="4:5" x14ac:dyDescent="0.2">
      <c r="D2033" s="148"/>
      <c r="E2033" s="154"/>
    </row>
    <row r="2034" spans="4:5" x14ac:dyDescent="0.2">
      <c r="D2034" s="148"/>
      <c r="E2034" s="154"/>
    </row>
    <row r="2035" spans="4:5" x14ac:dyDescent="0.2">
      <c r="D2035" s="148"/>
      <c r="E2035" s="154"/>
    </row>
    <row r="2036" spans="4:5" x14ac:dyDescent="0.2">
      <c r="D2036" s="148"/>
      <c r="E2036" s="154"/>
    </row>
    <row r="2037" spans="4:5" x14ac:dyDescent="0.2">
      <c r="D2037" s="148"/>
      <c r="E2037" s="154"/>
    </row>
    <row r="2038" spans="4:5" x14ac:dyDescent="0.2">
      <c r="D2038" s="148"/>
      <c r="E2038" s="154"/>
    </row>
    <row r="2039" spans="4:5" x14ac:dyDescent="0.2">
      <c r="D2039" s="148"/>
      <c r="E2039" s="154"/>
    </row>
    <row r="2040" spans="4:5" x14ac:dyDescent="0.2">
      <c r="D2040" s="148"/>
      <c r="E2040" s="154"/>
    </row>
    <row r="2041" spans="4:5" x14ac:dyDescent="0.2">
      <c r="D2041" s="148"/>
      <c r="E2041" s="154"/>
    </row>
    <row r="2042" spans="4:5" x14ac:dyDescent="0.2">
      <c r="D2042" s="148"/>
      <c r="E2042" s="154"/>
    </row>
    <row r="2043" spans="4:5" x14ac:dyDescent="0.2">
      <c r="D2043" s="148"/>
      <c r="E2043" s="154"/>
    </row>
    <row r="2044" spans="4:5" x14ac:dyDescent="0.2">
      <c r="D2044" s="148"/>
      <c r="E2044" s="154"/>
    </row>
    <row r="2045" spans="4:5" x14ac:dyDescent="0.2">
      <c r="D2045" s="148"/>
      <c r="E2045" s="154"/>
    </row>
    <row r="2046" spans="4:5" x14ac:dyDescent="0.2">
      <c r="D2046" s="148"/>
      <c r="E2046" s="154"/>
    </row>
    <row r="2047" spans="4:5" x14ac:dyDescent="0.2">
      <c r="D2047" s="148"/>
      <c r="E2047" s="154"/>
    </row>
    <row r="2048" spans="4:5" x14ac:dyDescent="0.2">
      <c r="D2048" s="148"/>
      <c r="E2048" s="154"/>
    </row>
    <row r="2049" spans="4:5" x14ac:dyDescent="0.2">
      <c r="D2049" s="148"/>
      <c r="E2049" s="154"/>
    </row>
    <row r="2050" spans="4:5" x14ac:dyDescent="0.2">
      <c r="D2050" s="148"/>
      <c r="E2050" s="154"/>
    </row>
    <row r="2051" spans="4:5" x14ac:dyDescent="0.2">
      <c r="D2051" s="148"/>
      <c r="E2051" s="154"/>
    </row>
    <row r="2052" spans="4:5" x14ac:dyDescent="0.2">
      <c r="D2052" s="148"/>
      <c r="E2052" s="154"/>
    </row>
    <row r="2053" spans="4:5" x14ac:dyDescent="0.2">
      <c r="D2053" s="148"/>
      <c r="E2053" s="154"/>
    </row>
    <row r="2054" spans="4:5" x14ac:dyDescent="0.2">
      <c r="D2054" s="148"/>
      <c r="E2054" s="154"/>
    </row>
    <row r="2055" spans="4:5" x14ac:dyDescent="0.2">
      <c r="D2055" s="148"/>
      <c r="E2055" s="154"/>
    </row>
    <row r="2056" spans="4:5" x14ac:dyDescent="0.2">
      <c r="D2056" s="148"/>
      <c r="E2056" s="154"/>
    </row>
    <row r="2057" spans="4:5" x14ac:dyDescent="0.2">
      <c r="D2057" s="148"/>
      <c r="E2057" s="154"/>
    </row>
    <row r="2058" spans="4:5" x14ac:dyDescent="0.2">
      <c r="D2058" s="148"/>
      <c r="E2058" s="154"/>
    </row>
    <row r="2059" spans="4:5" x14ac:dyDescent="0.2">
      <c r="D2059" s="148"/>
      <c r="E2059" s="154"/>
    </row>
    <row r="2060" spans="4:5" x14ac:dyDescent="0.2">
      <c r="D2060" s="148"/>
      <c r="E2060" s="154"/>
    </row>
    <row r="2061" spans="4:5" x14ac:dyDescent="0.2">
      <c r="D2061" s="148"/>
      <c r="E2061" s="154"/>
    </row>
    <row r="2062" spans="4:5" x14ac:dyDescent="0.2">
      <c r="D2062" s="148"/>
      <c r="E2062" s="154"/>
    </row>
    <row r="2063" spans="4:5" x14ac:dyDescent="0.2">
      <c r="D2063" s="148"/>
      <c r="E2063" s="154"/>
    </row>
    <row r="2064" spans="4:5" x14ac:dyDescent="0.2">
      <c r="D2064" s="148"/>
      <c r="E2064" s="154"/>
    </row>
    <row r="2065" spans="4:5" x14ac:dyDescent="0.2">
      <c r="D2065" s="148"/>
      <c r="E2065" s="154"/>
    </row>
    <row r="2066" spans="4:5" x14ac:dyDescent="0.2">
      <c r="D2066" s="148"/>
      <c r="E2066" s="154"/>
    </row>
    <row r="2067" spans="4:5" x14ac:dyDescent="0.2">
      <c r="D2067" s="148"/>
      <c r="E2067" s="154"/>
    </row>
    <row r="2068" spans="4:5" x14ac:dyDescent="0.2">
      <c r="D2068" s="148"/>
      <c r="E2068" s="154"/>
    </row>
    <row r="2069" spans="4:5" x14ac:dyDescent="0.2">
      <c r="D2069" s="148"/>
      <c r="E2069" s="154"/>
    </row>
    <row r="2070" spans="4:5" x14ac:dyDescent="0.2">
      <c r="D2070" s="148"/>
      <c r="E2070" s="154"/>
    </row>
    <row r="2071" spans="4:5" x14ac:dyDescent="0.2">
      <c r="D2071" s="148"/>
      <c r="E2071" s="154"/>
    </row>
    <row r="2072" spans="4:5" x14ac:dyDescent="0.2">
      <c r="D2072" s="148"/>
      <c r="E2072" s="154"/>
    </row>
    <row r="2073" spans="4:5" x14ac:dyDescent="0.2">
      <c r="D2073" s="148"/>
      <c r="E2073" s="154"/>
    </row>
    <row r="2074" spans="4:5" x14ac:dyDescent="0.2">
      <c r="D2074" s="148"/>
      <c r="E2074" s="154"/>
    </row>
    <row r="2075" spans="4:5" x14ac:dyDescent="0.2">
      <c r="D2075" s="148"/>
      <c r="E2075" s="154"/>
    </row>
    <row r="2076" spans="4:5" x14ac:dyDescent="0.2">
      <c r="D2076" s="148"/>
      <c r="E2076" s="154"/>
    </row>
    <row r="2077" spans="4:5" x14ac:dyDescent="0.2">
      <c r="D2077" s="148"/>
      <c r="E2077" s="154"/>
    </row>
    <row r="2078" spans="4:5" x14ac:dyDescent="0.2">
      <c r="D2078" s="148"/>
      <c r="E2078" s="154"/>
    </row>
    <row r="2079" spans="4:5" x14ac:dyDescent="0.2">
      <c r="D2079" s="148"/>
      <c r="E2079" s="154"/>
    </row>
    <row r="2080" spans="4:5" x14ac:dyDescent="0.2">
      <c r="D2080" s="148"/>
      <c r="E2080" s="154"/>
    </row>
    <row r="2081" spans="4:5" x14ac:dyDescent="0.2">
      <c r="D2081" s="148"/>
      <c r="E2081" s="154"/>
    </row>
    <row r="2082" spans="4:5" x14ac:dyDescent="0.2">
      <c r="D2082" s="148"/>
      <c r="E2082" s="154"/>
    </row>
    <row r="2083" spans="4:5" x14ac:dyDescent="0.2">
      <c r="D2083" s="148"/>
      <c r="E2083" s="154"/>
    </row>
    <row r="2084" spans="4:5" x14ac:dyDescent="0.2">
      <c r="D2084" s="148"/>
      <c r="E2084" s="154"/>
    </row>
    <row r="2085" spans="4:5" x14ac:dyDescent="0.2">
      <c r="D2085" s="148"/>
      <c r="E2085" s="154"/>
    </row>
    <row r="2086" spans="4:5" x14ac:dyDescent="0.2">
      <c r="D2086" s="148"/>
      <c r="E2086" s="154"/>
    </row>
    <row r="2087" spans="4:5" x14ac:dyDescent="0.2">
      <c r="D2087" s="148"/>
      <c r="E2087" s="154"/>
    </row>
    <row r="2088" spans="4:5" x14ac:dyDescent="0.2">
      <c r="D2088" s="148"/>
      <c r="E2088" s="154"/>
    </row>
    <row r="2089" spans="4:5" x14ac:dyDescent="0.2">
      <c r="D2089" s="148"/>
      <c r="E2089" s="154"/>
    </row>
    <row r="2090" spans="4:5" x14ac:dyDescent="0.2">
      <c r="D2090" s="148"/>
      <c r="E2090" s="154"/>
    </row>
    <row r="2091" spans="4:5" x14ac:dyDescent="0.2">
      <c r="D2091" s="148"/>
      <c r="E2091" s="154"/>
    </row>
    <row r="2092" spans="4:5" x14ac:dyDescent="0.2">
      <c r="D2092" s="148"/>
      <c r="E2092" s="154"/>
    </row>
    <row r="2093" spans="4:5" x14ac:dyDescent="0.2">
      <c r="D2093" s="148"/>
      <c r="E2093" s="154"/>
    </row>
    <row r="2094" spans="4:5" x14ac:dyDescent="0.2">
      <c r="D2094" s="148"/>
      <c r="E2094" s="154"/>
    </row>
    <row r="2095" spans="4:5" x14ac:dyDescent="0.2">
      <c r="D2095" s="148"/>
      <c r="E2095" s="154"/>
    </row>
    <row r="2096" spans="4:5" x14ac:dyDescent="0.2">
      <c r="D2096" s="148"/>
      <c r="E2096" s="154"/>
    </row>
    <row r="2097" spans="4:5" x14ac:dyDescent="0.2">
      <c r="D2097" s="148"/>
      <c r="E2097" s="154"/>
    </row>
    <row r="2098" spans="4:5" x14ac:dyDescent="0.2">
      <c r="D2098" s="148"/>
      <c r="E2098" s="154"/>
    </row>
    <row r="2099" spans="4:5" x14ac:dyDescent="0.2">
      <c r="D2099" s="148"/>
      <c r="E2099" s="154"/>
    </row>
    <row r="2100" spans="4:5" x14ac:dyDescent="0.2">
      <c r="D2100" s="148"/>
      <c r="E2100" s="154"/>
    </row>
    <row r="2101" spans="4:5" x14ac:dyDescent="0.2">
      <c r="D2101" s="148"/>
      <c r="E2101" s="154"/>
    </row>
    <row r="2102" spans="4:5" x14ac:dyDescent="0.2">
      <c r="D2102" s="148"/>
      <c r="E2102" s="154"/>
    </row>
    <row r="2103" spans="4:5" x14ac:dyDescent="0.2">
      <c r="D2103" s="148"/>
      <c r="E2103" s="154"/>
    </row>
    <row r="2104" spans="4:5" x14ac:dyDescent="0.2">
      <c r="D2104" s="148"/>
      <c r="E2104" s="154"/>
    </row>
    <row r="2105" spans="4:5" x14ac:dyDescent="0.2">
      <c r="D2105" s="148"/>
      <c r="E2105" s="154"/>
    </row>
    <row r="2106" spans="4:5" x14ac:dyDescent="0.2">
      <c r="D2106" s="148"/>
      <c r="E2106" s="154"/>
    </row>
    <row r="2107" spans="4:5" x14ac:dyDescent="0.2">
      <c r="D2107" s="148"/>
      <c r="E2107" s="154"/>
    </row>
    <row r="2108" spans="4:5" x14ac:dyDescent="0.2">
      <c r="D2108" s="148"/>
      <c r="E2108" s="154"/>
    </row>
    <row r="2109" spans="4:5" x14ac:dyDescent="0.2">
      <c r="D2109" s="148"/>
      <c r="E2109" s="154"/>
    </row>
    <row r="2110" spans="4:5" x14ac:dyDescent="0.2">
      <c r="D2110" s="148"/>
      <c r="E2110" s="154"/>
    </row>
    <row r="2111" spans="4:5" x14ac:dyDescent="0.2">
      <c r="D2111" s="148"/>
      <c r="E2111" s="154"/>
    </row>
    <row r="2112" spans="4:5" x14ac:dyDescent="0.2">
      <c r="D2112" s="148"/>
      <c r="E2112" s="154"/>
    </row>
    <row r="2113" spans="4:5" x14ac:dyDescent="0.2">
      <c r="D2113" s="148"/>
      <c r="E2113" s="154"/>
    </row>
    <row r="2114" spans="4:5" x14ac:dyDescent="0.2">
      <c r="D2114" s="148"/>
      <c r="E2114" s="154"/>
    </row>
    <row r="2115" spans="4:5" x14ac:dyDescent="0.2">
      <c r="D2115" s="148"/>
      <c r="E2115" s="154"/>
    </row>
    <row r="2116" spans="4:5" x14ac:dyDescent="0.2">
      <c r="D2116" s="148"/>
      <c r="E2116" s="154"/>
    </row>
    <row r="2117" spans="4:5" x14ac:dyDescent="0.2">
      <c r="D2117" s="148"/>
      <c r="E2117" s="154"/>
    </row>
    <row r="2118" spans="4:5" x14ac:dyDescent="0.2">
      <c r="D2118" s="148"/>
      <c r="E2118" s="154"/>
    </row>
    <row r="2119" spans="4:5" x14ac:dyDescent="0.2">
      <c r="D2119" s="148"/>
      <c r="E2119" s="154"/>
    </row>
    <row r="2120" spans="4:5" x14ac:dyDescent="0.2">
      <c r="D2120" s="148"/>
      <c r="E2120" s="154"/>
    </row>
    <row r="2121" spans="4:5" x14ac:dyDescent="0.2">
      <c r="D2121" s="148"/>
      <c r="E2121" s="154"/>
    </row>
    <row r="2122" spans="4:5" x14ac:dyDescent="0.2">
      <c r="D2122" s="148"/>
      <c r="E2122" s="154"/>
    </row>
    <row r="2123" spans="4:5" x14ac:dyDescent="0.2">
      <c r="D2123" s="148"/>
      <c r="E2123" s="154"/>
    </row>
    <row r="2124" spans="4:5" x14ac:dyDescent="0.2">
      <c r="D2124" s="148"/>
      <c r="E2124" s="154"/>
    </row>
    <row r="2125" spans="4:5" x14ac:dyDescent="0.2">
      <c r="D2125" s="148"/>
      <c r="E2125" s="154"/>
    </row>
    <row r="2126" spans="4:5" x14ac:dyDescent="0.2">
      <c r="D2126" s="148"/>
      <c r="E2126" s="154"/>
    </row>
    <row r="2127" spans="4:5" x14ac:dyDescent="0.2">
      <c r="D2127" s="148"/>
      <c r="E2127" s="154"/>
    </row>
    <row r="2128" spans="4:5" x14ac:dyDescent="0.2">
      <c r="D2128" s="148"/>
      <c r="E2128" s="154"/>
    </row>
    <row r="2129" spans="4:5" x14ac:dyDescent="0.2">
      <c r="D2129" s="148"/>
      <c r="E2129" s="154"/>
    </row>
    <row r="2130" spans="4:5" x14ac:dyDescent="0.2">
      <c r="D2130" s="148"/>
      <c r="E2130" s="154"/>
    </row>
    <row r="2131" spans="4:5" x14ac:dyDescent="0.2">
      <c r="D2131" s="148"/>
      <c r="E2131" s="154"/>
    </row>
    <row r="2132" spans="4:5" x14ac:dyDescent="0.2">
      <c r="D2132" s="148"/>
      <c r="E2132" s="154"/>
    </row>
    <row r="2133" spans="4:5" x14ac:dyDescent="0.2">
      <c r="D2133" s="148"/>
      <c r="E2133" s="154"/>
    </row>
    <row r="2134" spans="4:5" x14ac:dyDescent="0.2">
      <c r="D2134" s="148"/>
      <c r="E2134" s="154"/>
    </row>
    <row r="2135" spans="4:5" x14ac:dyDescent="0.2">
      <c r="D2135" s="148"/>
      <c r="E2135" s="154"/>
    </row>
    <row r="2136" spans="4:5" x14ac:dyDescent="0.2">
      <c r="D2136" s="148"/>
      <c r="E2136" s="154"/>
    </row>
    <row r="2137" spans="4:5" x14ac:dyDescent="0.2">
      <c r="D2137" s="148"/>
      <c r="E2137" s="154"/>
    </row>
    <row r="2138" spans="4:5" x14ac:dyDescent="0.2">
      <c r="D2138" s="148"/>
      <c r="E2138" s="154"/>
    </row>
    <row r="2139" spans="4:5" x14ac:dyDescent="0.2">
      <c r="D2139" s="148"/>
      <c r="E2139" s="154"/>
    </row>
    <row r="2140" spans="4:5" x14ac:dyDescent="0.2">
      <c r="D2140" s="148"/>
      <c r="E2140" s="154"/>
    </row>
    <row r="2141" spans="4:5" x14ac:dyDescent="0.2">
      <c r="D2141" s="148"/>
      <c r="E2141" s="154"/>
    </row>
    <row r="2142" spans="4:5" x14ac:dyDescent="0.2">
      <c r="D2142" s="148"/>
      <c r="E2142" s="154"/>
    </row>
    <row r="2143" spans="4:5" x14ac:dyDescent="0.2">
      <c r="D2143" s="148"/>
      <c r="E2143" s="154"/>
    </row>
    <row r="2144" spans="4:5" x14ac:dyDescent="0.2">
      <c r="D2144" s="148"/>
      <c r="E2144" s="154"/>
    </row>
    <row r="2145" spans="4:5" x14ac:dyDescent="0.2">
      <c r="D2145" s="148"/>
      <c r="E2145" s="154"/>
    </row>
    <row r="2146" spans="4:5" x14ac:dyDescent="0.2">
      <c r="D2146" s="148"/>
      <c r="E2146" s="154"/>
    </row>
    <row r="2147" spans="4:5" x14ac:dyDescent="0.2">
      <c r="D2147" s="148"/>
      <c r="E2147" s="154"/>
    </row>
    <row r="2148" spans="4:5" x14ac:dyDescent="0.2">
      <c r="D2148" s="148"/>
      <c r="E2148" s="154"/>
    </row>
    <row r="2149" spans="4:5" x14ac:dyDescent="0.2">
      <c r="D2149" s="148"/>
      <c r="E2149" s="154"/>
    </row>
    <row r="2150" spans="4:5" x14ac:dyDescent="0.2">
      <c r="D2150" s="148"/>
      <c r="E2150" s="154"/>
    </row>
    <row r="2151" spans="4:5" x14ac:dyDescent="0.2">
      <c r="D2151" s="148"/>
      <c r="E2151" s="154"/>
    </row>
    <row r="2152" spans="4:5" x14ac:dyDescent="0.2">
      <c r="D2152" s="148"/>
      <c r="E2152" s="154"/>
    </row>
    <row r="2153" spans="4:5" x14ac:dyDescent="0.2">
      <c r="D2153" s="148"/>
      <c r="E2153" s="154"/>
    </row>
    <row r="2154" spans="4:5" x14ac:dyDescent="0.2">
      <c r="D2154" s="148"/>
      <c r="E2154" s="154"/>
    </row>
    <row r="2155" spans="4:5" x14ac:dyDescent="0.2">
      <c r="D2155" s="148"/>
      <c r="E2155" s="154"/>
    </row>
    <row r="2156" spans="4:5" x14ac:dyDescent="0.2">
      <c r="D2156" s="148"/>
      <c r="E2156" s="154"/>
    </row>
    <row r="2157" spans="4:5" x14ac:dyDescent="0.2">
      <c r="D2157" s="148"/>
      <c r="E2157" s="154"/>
    </row>
    <row r="2158" spans="4:5" x14ac:dyDescent="0.2">
      <c r="D2158" s="148"/>
      <c r="E2158" s="154"/>
    </row>
    <row r="2159" spans="4:5" x14ac:dyDescent="0.2">
      <c r="D2159" s="148"/>
      <c r="E2159" s="154"/>
    </row>
    <row r="2160" spans="4:5" x14ac:dyDescent="0.2">
      <c r="D2160" s="148"/>
      <c r="E2160" s="154"/>
    </row>
    <row r="2161" spans="4:5" x14ac:dyDescent="0.2">
      <c r="D2161" s="148"/>
      <c r="E2161" s="154"/>
    </row>
    <row r="2162" spans="4:5" x14ac:dyDescent="0.2">
      <c r="D2162" s="148"/>
      <c r="E2162" s="154"/>
    </row>
    <row r="2163" spans="4:5" x14ac:dyDescent="0.2">
      <c r="D2163" s="148"/>
      <c r="E2163" s="154"/>
    </row>
    <row r="2164" spans="4:5" x14ac:dyDescent="0.2">
      <c r="D2164" s="148"/>
      <c r="E2164" s="154"/>
    </row>
    <row r="2165" spans="4:5" x14ac:dyDescent="0.2">
      <c r="D2165" s="148"/>
      <c r="E2165" s="154"/>
    </row>
    <row r="2166" spans="4:5" x14ac:dyDescent="0.2">
      <c r="D2166" s="148"/>
      <c r="E2166" s="154"/>
    </row>
    <row r="2167" spans="4:5" x14ac:dyDescent="0.2">
      <c r="D2167" s="148"/>
      <c r="E2167" s="154"/>
    </row>
    <row r="2168" spans="4:5" x14ac:dyDescent="0.2">
      <c r="D2168" s="148"/>
      <c r="E2168" s="154"/>
    </row>
    <row r="2169" spans="4:5" x14ac:dyDescent="0.2">
      <c r="D2169" s="148"/>
      <c r="E2169" s="154"/>
    </row>
    <row r="2170" spans="4:5" x14ac:dyDescent="0.2">
      <c r="D2170" s="148"/>
      <c r="E2170" s="154"/>
    </row>
    <row r="2171" spans="4:5" x14ac:dyDescent="0.2">
      <c r="D2171" s="148"/>
      <c r="E2171" s="154"/>
    </row>
    <row r="2172" spans="4:5" x14ac:dyDescent="0.2">
      <c r="D2172" s="148"/>
      <c r="E2172" s="154"/>
    </row>
    <row r="2173" spans="4:5" x14ac:dyDescent="0.2">
      <c r="D2173" s="148"/>
      <c r="E2173" s="154"/>
    </row>
    <row r="2174" spans="4:5" x14ac:dyDescent="0.2">
      <c r="D2174" s="148"/>
      <c r="E2174" s="154"/>
    </row>
    <row r="2175" spans="4:5" x14ac:dyDescent="0.2">
      <c r="D2175" s="148"/>
      <c r="E2175" s="154"/>
    </row>
    <row r="2176" spans="4:5" x14ac:dyDescent="0.2">
      <c r="D2176" s="148"/>
      <c r="E2176" s="154"/>
    </row>
    <row r="2177" spans="4:5" x14ac:dyDescent="0.2">
      <c r="D2177" s="148"/>
      <c r="E2177" s="154"/>
    </row>
    <row r="2178" spans="4:5" x14ac:dyDescent="0.2">
      <c r="D2178" s="148"/>
      <c r="E2178" s="154"/>
    </row>
    <row r="2179" spans="4:5" x14ac:dyDescent="0.2">
      <c r="D2179" s="148"/>
      <c r="E2179" s="154"/>
    </row>
    <row r="2180" spans="4:5" x14ac:dyDescent="0.2">
      <c r="D2180" s="148"/>
      <c r="E2180" s="154"/>
    </row>
    <row r="2181" spans="4:5" x14ac:dyDescent="0.2">
      <c r="D2181" s="148"/>
      <c r="E2181" s="154"/>
    </row>
    <row r="2182" spans="4:5" x14ac:dyDescent="0.2">
      <c r="D2182" s="148"/>
      <c r="E2182" s="154"/>
    </row>
    <row r="2183" spans="4:5" x14ac:dyDescent="0.2">
      <c r="D2183" s="148"/>
      <c r="E2183" s="154"/>
    </row>
    <row r="2184" spans="4:5" x14ac:dyDescent="0.2">
      <c r="D2184" s="148"/>
      <c r="E2184" s="154"/>
    </row>
    <row r="2185" spans="4:5" x14ac:dyDescent="0.2">
      <c r="D2185" s="148"/>
      <c r="E2185" s="154"/>
    </row>
    <row r="2186" spans="4:5" x14ac:dyDescent="0.2">
      <c r="D2186" s="148"/>
      <c r="E2186" s="154"/>
    </row>
    <row r="2187" spans="4:5" x14ac:dyDescent="0.2">
      <c r="D2187" s="148"/>
      <c r="E2187" s="154"/>
    </row>
    <row r="2188" spans="4:5" x14ac:dyDescent="0.2">
      <c r="D2188" s="148"/>
      <c r="E2188" s="154"/>
    </row>
    <row r="2189" spans="4:5" x14ac:dyDescent="0.2">
      <c r="D2189" s="148"/>
      <c r="E2189" s="154"/>
    </row>
    <row r="2190" spans="4:5" x14ac:dyDescent="0.2">
      <c r="D2190" s="148"/>
      <c r="E2190" s="154"/>
    </row>
    <row r="2191" spans="4:5" x14ac:dyDescent="0.2">
      <c r="D2191" s="148"/>
      <c r="E2191" s="154"/>
    </row>
    <row r="2192" spans="4:5" x14ac:dyDescent="0.2">
      <c r="D2192" s="148"/>
      <c r="E2192" s="154"/>
    </row>
    <row r="2193" spans="4:5" x14ac:dyDescent="0.2">
      <c r="D2193" s="148"/>
      <c r="E2193" s="154"/>
    </row>
    <row r="2194" spans="4:5" x14ac:dyDescent="0.2">
      <c r="D2194" s="148"/>
      <c r="E2194" s="154"/>
    </row>
    <row r="2195" spans="4:5" x14ac:dyDescent="0.2">
      <c r="D2195" s="148"/>
      <c r="E2195" s="154"/>
    </row>
    <row r="2196" spans="4:5" x14ac:dyDescent="0.2">
      <c r="D2196" s="148"/>
      <c r="E2196" s="154"/>
    </row>
    <row r="2197" spans="4:5" x14ac:dyDescent="0.2">
      <c r="D2197" s="148"/>
      <c r="E2197" s="154"/>
    </row>
    <row r="2198" spans="4:5" x14ac:dyDescent="0.2">
      <c r="D2198" s="148"/>
      <c r="E2198" s="154"/>
    </row>
    <row r="2199" spans="4:5" x14ac:dyDescent="0.2">
      <c r="D2199" s="148"/>
      <c r="E2199" s="154"/>
    </row>
    <row r="2200" spans="4:5" x14ac:dyDescent="0.2">
      <c r="D2200" s="148"/>
      <c r="E2200" s="154"/>
    </row>
    <row r="2201" spans="4:5" x14ac:dyDescent="0.2">
      <c r="D2201" s="148"/>
      <c r="E2201" s="154"/>
    </row>
    <row r="2202" spans="4:5" x14ac:dyDescent="0.2">
      <c r="D2202" s="148"/>
      <c r="E2202" s="154"/>
    </row>
    <row r="2203" spans="4:5" x14ac:dyDescent="0.2">
      <c r="D2203" s="148"/>
      <c r="E2203" s="154"/>
    </row>
    <row r="2204" spans="4:5" x14ac:dyDescent="0.2">
      <c r="D2204" s="148"/>
      <c r="E2204" s="154"/>
    </row>
    <row r="2205" spans="4:5" x14ac:dyDescent="0.2">
      <c r="D2205" s="148"/>
      <c r="E2205" s="154"/>
    </row>
    <row r="2206" spans="4:5" x14ac:dyDescent="0.2">
      <c r="D2206" s="148"/>
      <c r="E2206" s="154"/>
    </row>
    <row r="2207" spans="4:5" x14ac:dyDescent="0.2">
      <c r="D2207" s="148"/>
      <c r="E2207" s="154"/>
    </row>
    <row r="2208" spans="4:5" x14ac:dyDescent="0.2">
      <c r="D2208" s="148"/>
      <c r="E2208" s="154"/>
    </row>
    <row r="2209" spans="4:5" x14ac:dyDescent="0.2">
      <c r="D2209" s="148"/>
      <c r="E2209" s="154"/>
    </row>
    <row r="2210" spans="4:5" x14ac:dyDescent="0.2">
      <c r="D2210" s="148"/>
      <c r="E2210" s="154"/>
    </row>
    <row r="2211" spans="4:5" x14ac:dyDescent="0.2">
      <c r="D2211" s="148"/>
      <c r="E2211" s="154"/>
    </row>
    <row r="2212" spans="4:5" x14ac:dyDescent="0.2">
      <c r="D2212" s="148"/>
      <c r="E2212" s="154"/>
    </row>
    <row r="2213" spans="4:5" x14ac:dyDescent="0.2">
      <c r="D2213" s="148"/>
      <c r="E2213" s="154"/>
    </row>
    <row r="2214" spans="4:5" x14ac:dyDescent="0.2">
      <c r="D2214" s="148"/>
      <c r="E2214" s="154"/>
    </row>
    <row r="2215" spans="4:5" x14ac:dyDescent="0.2">
      <c r="D2215" s="148"/>
      <c r="E2215" s="154"/>
    </row>
    <row r="2216" spans="4:5" x14ac:dyDescent="0.2">
      <c r="D2216" s="148"/>
      <c r="E2216" s="154"/>
    </row>
    <row r="2217" spans="4:5" x14ac:dyDescent="0.2">
      <c r="D2217" s="148"/>
      <c r="E2217" s="154"/>
    </row>
    <row r="2218" spans="4:5" x14ac:dyDescent="0.2">
      <c r="D2218" s="148"/>
      <c r="E2218" s="154"/>
    </row>
    <row r="2219" spans="4:5" x14ac:dyDescent="0.2">
      <c r="D2219" s="148"/>
      <c r="E2219" s="154"/>
    </row>
    <row r="2220" spans="4:5" x14ac:dyDescent="0.2">
      <c r="D2220" s="148"/>
      <c r="E2220" s="154"/>
    </row>
    <row r="2221" spans="4:5" x14ac:dyDescent="0.2">
      <c r="D2221" s="148"/>
      <c r="E2221" s="154"/>
    </row>
    <row r="2222" spans="4:5" x14ac:dyDescent="0.2">
      <c r="D2222" s="148"/>
      <c r="E2222" s="154"/>
    </row>
    <row r="2223" spans="4:5" x14ac:dyDescent="0.2">
      <c r="D2223" s="148"/>
      <c r="E2223" s="154"/>
    </row>
    <row r="2224" spans="4:5" x14ac:dyDescent="0.2">
      <c r="D2224" s="148"/>
      <c r="E2224" s="154"/>
    </row>
    <row r="2225" spans="4:5" x14ac:dyDescent="0.2">
      <c r="D2225" s="148"/>
      <c r="E2225" s="154"/>
    </row>
    <row r="2226" spans="4:5" x14ac:dyDescent="0.2">
      <c r="D2226" s="148"/>
      <c r="E2226" s="154"/>
    </row>
    <row r="2227" spans="4:5" x14ac:dyDescent="0.2">
      <c r="D2227" s="148"/>
      <c r="E2227" s="154"/>
    </row>
    <row r="2228" spans="4:5" x14ac:dyDescent="0.2">
      <c r="D2228" s="148"/>
      <c r="E2228" s="154"/>
    </row>
    <row r="2229" spans="4:5" x14ac:dyDescent="0.2">
      <c r="D2229" s="148"/>
      <c r="E2229" s="154"/>
    </row>
    <row r="2230" spans="4:5" x14ac:dyDescent="0.2">
      <c r="D2230" s="148"/>
      <c r="E2230" s="154"/>
    </row>
    <row r="2231" spans="4:5" x14ac:dyDescent="0.2">
      <c r="D2231" s="148"/>
      <c r="E2231" s="154"/>
    </row>
    <row r="2232" spans="4:5" x14ac:dyDescent="0.2">
      <c r="D2232" s="148"/>
      <c r="E2232" s="154"/>
    </row>
    <row r="2233" spans="4:5" x14ac:dyDescent="0.2">
      <c r="D2233" s="148"/>
      <c r="E2233" s="154"/>
    </row>
    <row r="2234" spans="4:5" x14ac:dyDescent="0.2">
      <c r="D2234" s="148"/>
      <c r="E2234" s="154"/>
    </row>
    <row r="2235" spans="4:5" x14ac:dyDescent="0.2">
      <c r="D2235" s="148"/>
      <c r="E2235" s="154"/>
    </row>
    <row r="2236" spans="4:5" x14ac:dyDescent="0.2">
      <c r="D2236" s="148"/>
      <c r="E2236" s="154"/>
    </row>
    <row r="2237" spans="4:5" x14ac:dyDescent="0.2">
      <c r="D2237" s="148"/>
      <c r="E2237" s="154"/>
    </row>
    <row r="2238" spans="4:5" x14ac:dyDescent="0.2">
      <c r="D2238" s="148"/>
      <c r="E2238" s="154"/>
    </row>
    <row r="2239" spans="4:5" x14ac:dyDescent="0.2">
      <c r="D2239" s="148"/>
      <c r="E2239" s="154"/>
    </row>
    <row r="2240" spans="4:5" x14ac:dyDescent="0.2">
      <c r="D2240" s="148"/>
      <c r="E2240" s="154"/>
    </row>
    <row r="2241" spans="4:5" x14ac:dyDescent="0.2">
      <c r="D2241" s="148"/>
      <c r="E2241" s="154"/>
    </row>
    <row r="2242" spans="4:5" x14ac:dyDescent="0.2">
      <c r="D2242" s="148"/>
      <c r="E2242" s="154"/>
    </row>
    <row r="2243" spans="4:5" x14ac:dyDescent="0.2">
      <c r="D2243" s="148"/>
      <c r="E2243" s="154"/>
    </row>
    <row r="2244" spans="4:5" x14ac:dyDescent="0.2">
      <c r="D2244" s="148"/>
      <c r="E2244" s="154"/>
    </row>
    <row r="2245" spans="4:5" x14ac:dyDescent="0.2">
      <c r="D2245" s="148"/>
      <c r="E2245" s="154"/>
    </row>
    <row r="2246" spans="4:5" x14ac:dyDescent="0.2">
      <c r="D2246" s="148"/>
      <c r="E2246" s="154"/>
    </row>
    <row r="2247" spans="4:5" x14ac:dyDescent="0.2">
      <c r="D2247" s="148"/>
      <c r="E2247" s="154"/>
    </row>
    <row r="2248" spans="4:5" x14ac:dyDescent="0.2">
      <c r="D2248" s="148"/>
      <c r="E2248" s="154"/>
    </row>
    <row r="2249" spans="4:5" x14ac:dyDescent="0.2">
      <c r="D2249" s="148"/>
      <c r="E2249" s="154"/>
    </row>
    <row r="2250" spans="4:5" x14ac:dyDescent="0.2">
      <c r="D2250" s="148"/>
      <c r="E2250" s="154"/>
    </row>
    <row r="2251" spans="4:5" x14ac:dyDescent="0.2">
      <c r="D2251" s="148"/>
      <c r="E2251" s="154"/>
    </row>
    <row r="2252" spans="4:5" x14ac:dyDescent="0.2">
      <c r="D2252" s="148"/>
      <c r="E2252" s="154"/>
    </row>
    <row r="2253" spans="4:5" x14ac:dyDescent="0.2">
      <c r="D2253" s="148"/>
      <c r="E2253" s="154"/>
    </row>
    <row r="2254" spans="4:5" x14ac:dyDescent="0.2">
      <c r="D2254" s="148"/>
      <c r="E2254" s="154"/>
    </row>
    <row r="2255" spans="4:5" x14ac:dyDescent="0.2">
      <c r="D2255" s="148"/>
      <c r="E2255" s="154"/>
    </row>
    <row r="2256" spans="4:5" x14ac:dyDescent="0.2">
      <c r="D2256" s="148"/>
      <c r="E2256" s="154"/>
    </row>
    <row r="2257" spans="4:5" x14ac:dyDescent="0.2">
      <c r="D2257" s="148"/>
      <c r="E2257" s="154"/>
    </row>
    <row r="2258" spans="4:5" x14ac:dyDescent="0.2">
      <c r="D2258" s="148"/>
      <c r="E2258" s="154"/>
    </row>
    <row r="2259" spans="4:5" x14ac:dyDescent="0.2">
      <c r="D2259" s="148"/>
      <c r="E2259" s="154"/>
    </row>
    <row r="2260" spans="4:5" x14ac:dyDescent="0.2">
      <c r="D2260" s="148"/>
      <c r="E2260" s="154"/>
    </row>
    <row r="2261" spans="4:5" x14ac:dyDescent="0.2">
      <c r="D2261" s="148"/>
      <c r="E2261" s="154"/>
    </row>
    <row r="2262" spans="4:5" x14ac:dyDescent="0.2">
      <c r="D2262" s="148"/>
      <c r="E2262" s="154"/>
    </row>
    <row r="2263" spans="4:5" x14ac:dyDescent="0.2">
      <c r="D2263" s="148"/>
      <c r="E2263" s="154"/>
    </row>
    <row r="2264" spans="4:5" x14ac:dyDescent="0.2">
      <c r="D2264" s="148"/>
      <c r="E2264" s="154"/>
    </row>
    <row r="2265" spans="4:5" x14ac:dyDescent="0.2">
      <c r="D2265" s="148"/>
      <c r="E2265" s="154"/>
    </row>
    <row r="2266" spans="4:5" x14ac:dyDescent="0.2">
      <c r="D2266" s="148"/>
      <c r="E2266" s="154"/>
    </row>
    <row r="2267" spans="4:5" x14ac:dyDescent="0.2">
      <c r="D2267" s="148"/>
      <c r="E2267" s="154"/>
    </row>
    <row r="2268" spans="4:5" x14ac:dyDescent="0.2">
      <c r="D2268" s="148"/>
      <c r="E2268" s="154"/>
    </row>
    <row r="2269" spans="4:5" x14ac:dyDescent="0.2">
      <c r="D2269" s="148"/>
      <c r="E2269" s="154"/>
    </row>
    <row r="2270" spans="4:5" x14ac:dyDescent="0.2">
      <c r="D2270" s="148"/>
      <c r="E2270" s="154"/>
    </row>
    <row r="2271" spans="4:5" x14ac:dyDescent="0.2">
      <c r="D2271" s="148"/>
      <c r="E2271" s="154"/>
    </row>
    <row r="2272" spans="4:5" x14ac:dyDescent="0.2">
      <c r="D2272" s="148"/>
      <c r="E2272" s="154"/>
    </row>
    <row r="2273" spans="4:5" x14ac:dyDescent="0.2">
      <c r="D2273" s="148"/>
      <c r="E2273" s="154"/>
    </row>
    <row r="2274" spans="4:5" x14ac:dyDescent="0.2">
      <c r="D2274" s="148"/>
      <c r="E2274" s="154"/>
    </row>
    <row r="2275" spans="4:5" x14ac:dyDescent="0.2">
      <c r="D2275" s="148"/>
      <c r="E2275" s="154"/>
    </row>
    <row r="2276" spans="4:5" x14ac:dyDescent="0.2">
      <c r="D2276" s="148"/>
      <c r="E2276" s="154"/>
    </row>
    <row r="2277" spans="4:5" x14ac:dyDescent="0.2">
      <c r="D2277" s="148"/>
      <c r="E2277" s="154"/>
    </row>
    <row r="2278" spans="4:5" x14ac:dyDescent="0.2">
      <c r="D2278" s="148"/>
      <c r="E2278" s="154"/>
    </row>
    <row r="2279" spans="4:5" x14ac:dyDescent="0.2">
      <c r="D2279" s="148"/>
      <c r="E2279" s="154"/>
    </row>
    <row r="2280" spans="4:5" x14ac:dyDescent="0.2">
      <c r="D2280" s="148"/>
      <c r="E2280" s="154"/>
    </row>
    <row r="2281" spans="4:5" x14ac:dyDescent="0.2">
      <c r="D2281" s="148"/>
      <c r="E2281" s="154"/>
    </row>
    <row r="2282" spans="4:5" x14ac:dyDescent="0.2">
      <c r="D2282" s="148"/>
      <c r="E2282" s="154"/>
    </row>
    <row r="2283" spans="4:5" x14ac:dyDescent="0.2">
      <c r="D2283" s="148"/>
      <c r="E2283" s="154"/>
    </row>
    <row r="2284" spans="4:5" x14ac:dyDescent="0.2">
      <c r="D2284" s="148"/>
      <c r="E2284" s="154"/>
    </row>
    <row r="2285" spans="4:5" x14ac:dyDescent="0.2">
      <c r="D2285" s="148"/>
      <c r="E2285" s="154"/>
    </row>
    <row r="2286" spans="4:5" x14ac:dyDescent="0.2">
      <c r="D2286" s="148"/>
      <c r="E2286" s="154"/>
    </row>
    <row r="2287" spans="4:5" x14ac:dyDescent="0.2">
      <c r="D2287" s="148"/>
      <c r="E2287" s="154"/>
    </row>
    <row r="2288" spans="4:5" x14ac:dyDescent="0.2">
      <c r="D2288" s="148"/>
      <c r="E2288" s="154"/>
    </row>
    <row r="2289" spans="4:5" x14ac:dyDescent="0.2">
      <c r="D2289" s="148"/>
      <c r="E2289" s="154"/>
    </row>
    <row r="2290" spans="4:5" x14ac:dyDescent="0.2">
      <c r="D2290" s="148"/>
      <c r="E2290" s="154"/>
    </row>
    <row r="2291" spans="4:5" x14ac:dyDescent="0.2">
      <c r="D2291" s="148"/>
      <c r="E2291" s="154"/>
    </row>
    <row r="2292" spans="4:5" x14ac:dyDescent="0.2">
      <c r="D2292" s="148"/>
      <c r="E2292" s="154"/>
    </row>
    <row r="2293" spans="4:5" x14ac:dyDescent="0.2">
      <c r="D2293" s="148"/>
      <c r="E2293" s="154"/>
    </row>
    <row r="2294" spans="4:5" x14ac:dyDescent="0.2">
      <c r="D2294" s="148"/>
      <c r="E2294" s="154"/>
    </row>
    <row r="2295" spans="4:5" x14ac:dyDescent="0.2">
      <c r="D2295" s="148"/>
      <c r="E2295" s="154"/>
    </row>
    <row r="2296" spans="4:5" x14ac:dyDescent="0.2">
      <c r="D2296" s="148"/>
      <c r="E2296" s="154"/>
    </row>
    <row r="2297" spans="4:5" x14ac:dyDescent="0.2">
      <c r="D2297" s="148"/>
      <c r="E2297" s="154"/>
    </row>
    <row r="2298" spans="4:5" x14ac:dyDescent="0.2">
      <c r="D2298" s="148"/>
      <c r="E2298" s="154"/>
    </row>
    <row r="2299" spans="4:5" x14ac:dyDescent="0.2">
      <c r="D2299" s="148"/>
      <c r="E2299" s="154"/>
    </row>
    <row r="2300" spans="4:5" x14ac:dyDescent="0.2">
      <c r="D2300" s="148"/>
      <c r="E2300" s="154"/>
    </row>
    <row r="2301" spans="4:5" x14ac:dyDescent="0.2">
      <c r="D2301" s="148"/>
      <c r="E2301" s="154"/>
    </row>
    <row r="2302" spans="4:5" x14ac:dyDescent="0.2">
      <c r="D2302" s="148"/>
      <c r="E2302" s="154"/>
    </row>
    <row r="2303" spans="4:5" x14ac:dyDescent="0.2">
      <c r="D2303" s="148"/>
      <c r="E2303" s="154"/>
    </row>
    <row r="2304" spans="4:5" x14ac:dyDescent="0.2">
      <c r="D2304" s="148"/>
      <c r="E2304" s="154"/>
    </row>
    <row r="2305" spans="4:5" x14ac:dyDescent="0.2">
      <c r="D2305" s="148"/>
      <c r="E2305" s="154"/>
    </row>
    <row r="2306" spans="4:5" x14ac:dyDescent="0.2">
      <c r="D2306" s="148"/>
      <c r="E2306" s="154"/>
    </row>
    <row r="2307" spans="4:5" x14ac:dyDescent="0.2">
      <c r="D2307" s="148"/>
      <c r="E2307" s="154"/>
    </row>
    <row r="2308" spans="4:5" x14ac:dyDescent="0.2">
      <c r="D2308" s="148"/>
      <c r="E2308" s="154"/>
    </row>
    <row r="2309" spans="4:5" x14ac:dyDescent="0.2">
      <c r="D2309" s="148"/>
      <c r="E2309" s="154"/>
    </row>
    <row r="2310" spans="4:5" x14ac:dyDescent="0.2">
      <c r="D2310" s="148"/>
      <c r="E2310" s="154"/>
    </row>
    <row r="2311" spans="4:5" x14ac:dyDescent="0.2">
      <c r="D2311" s="148"/>
      <c r="E2311" s="154"/>
    </row>
    <row r="2312" spans="4:5" x14ac:dyDescent="0.2">
      <c r="D2312" s="148"/>
      <c r="E2312" s="154"/>
    </row>
    <row r="2313" spans="4:5" x14ac:dyDescent="0.2">
      <c r="D2313" s="148"/>
      <c r="E2313" s="154"/>
    </row>
    <row r="2314" spans="4:5" x14ac:dyDescent="0.2">
      <c r="D2314" s="148"/>
      <c r="E2314" s="154"/>
    </row>
    <row r="2315" spans="4:5" x14ac:dyDescent="0.2">
      <c r="D2315" s="148"/>
      <c r="E2315" s="154"/>
    </row>
    <row r="2316" spans="4:5" x14ac:dyDescent="0.2">
      <c r="D2316" s="148"/>
      <c r="E2316" s="154"/>
    </row>
    <row r="2317" spans="4:5" x14ac:dyDescent="0.2">
      <c r="D2317" s="148"/>
      <c r="E2317" s="154"/>
    </row>
    <row r="2318" spans="4:5" x14ac:dyDescent="0.2">
      <c r="D2318" s="148"/>
      <c r="E2318" s="154"/>
    </row>
    <row r="2319" spans="4:5" x14ac:dyDescent="0.2">
      <c r="D2319" s="148"/>
      <c r="E2319" s="154"/>
    </row>
    <row r="2320" spans="4:5" x14ac:dyDescent="0.2">
      <c r="D2320" s="148"/>
      <c r="E2320" s="154"/>
    </row>
    <row r="2321" spans="4:5" x14ac:dyDescent="0.2">
      <c r="D2321" s="148"/>
      <c r="E2321" s="154"/>
    </row>
    <row r="2322" spans="4:5" x14ac:dyDescent="0.2">
      <c r="D2322" s="148"/>
      <c r="E2322" s="154"/>
    </row>
    <row r="2323" spans="4:5" x14ac:dyDescent="0.2">
      <c r="D2323" s="148"/>
      <c r="E2323" s="154"/>
    </row>
    <row r="2324" spans="4:5" x14ac:dyDescent="0.2">
      <c r="D2324" s="148"/>
      <c r="E2324" s="154"/>
    </row>
    <row r="2325" spans="4:5" x14ac:dyDescent="0.2">
      <c r="D2325" s="148"/>
      <c r="E2325" s="154"/>
    </row>
    <row r="2326" spans="4:5" x14ac:dyDescent="0.2">
      <c r="D2326" s="148"/>
      <c r="E2326" s="154"/>
    </row>
    <row r="2327" spans="4:5" x14ac:dyDescent="0.2">
      <c r="D2327" s="148"/>
      <c r="E2327" s="154"/>
    </row>
    <row r="2328" spans="4:5" x14ac:dyDescent="0.2">
      <c r="D2328" s="148"/>
      <c r="E2328" s="154"/>
    </row>
    <row r="2329" spans="4:5" x14ac:dyDescent="0.2">
      <c r="D2329" s="148"/>
      <c r="E2329" s="154"/>
    </row>
    <row r="2330" spans="4:5" x14ac:dyDescent="0.2">
      <c r="D2330" s="148"/>
      <c r="E2330" s="154"/>
    </row>
    <row r="2331" spans="4:5" x14ac:dyDescent="0.2">
      <c r="D2331" s="148"/>
      <c r="E2331" s="154"/>
    </row>
    <row r="2332" spans="4:5" x14ac:dyDescent="0.2">
      <c r="D2332" s="148"/>
      <c r="E2332" s="154"/>
    </row>
    <row r="2333" spans="4:5" x14ac:dyDescent="0.2">
      <c r="D2333" s="148"/>
      <c r="E2333" s="154"/>
    </row>
    <row r="2334" spans="4:5" x14ac:dyDescent="0.2">
      <c r="D2334" s="148"/>
      <c r="E2334" s="154"/>
    </row>
    <row r="2335" spans="4:5" x14ac:dyDescent="0.2">
      <c r="D2335" s="148"/>
      <c r="E2335" s="154"/>
    </row>
    <row r="2336" spans="4:5" x14ac:dyDescent="0.2">
      <c r="D2336" s="148"/>
      <c r="E2336" s="154"/>
    </row>
    <row r="2337" spans="4:5" x14ac:dyDescent="0.2">
      <c r="D2337" s="148"/>
      <c r="E2337" s="154"/>
    </row>
    <row r="2338" spans="4:5" x14ac:dyDescent="0.2">
      <c r="D2338" s="148"/>
      <c r="E2338" s="154"/>
    </row>
    <row r="2339" spans="4:5" x14ac:dyDescent="0.2">
      <c r="D2339" s="148"/>
      <c r="E2339" s="154"/>
    </row>
    <row r="2340" spans="4:5" x14ac:dyDescent="0.2">
      <c r="D2340" s="148"/>
      <c r="E2340" s="154"/>
    </row>
    <row r="2341" spans="4:5" x14ac:dyDescent="0.2">
      <c r="D2341" s="148"/>
      <c r="E2341" s="154"/>
    </row>
    <row r="2342" spans="4:5" x14ac:dyDescent="0.2">
      <c r="D2342" s="148"/>
      <c r="E2342" s="154"/>
    </row>
    <row r="2343" spans="4:5" x14ac:dyDescent="0.2">
      <c r="D2343" s="148"/>
      <c r="E2343" s="154"/>
    </row>
    <row r="2344" spans="4:5" x14ac:dyDescent="0.2">
      <c r="D2344" s="148"/>
      <c r="E2344" s="154"/>
    </row>
    <row r="2345" spans="4:5" x14ac:dyDescent="0.2">
      <c r="D2345" s="148"/>
      <c r="E2345" s="154"/>
    </row>
    <row r="2346" spans="4:5" x14ac:dyDescent="0.2">
      <c r="D2346" s="148"/>
      <c r="E2346" s="154"/>
    </row>
    <row r="2347" spans="4:5" x14ac:dyDescent="0.2">
      <c r="D2347" s="148"/>
      <c r="E2347" s="154"/>
    </row>
    <row r="2348" spans="4:5" x14ac:dyDescent="0.2">
      <c r="D2348" s="148"/>
      <c r="E2348" s="154"/>
    </row>
    <row r="2349" spans="4:5" x14ac:dyDescent="0.2">
      <c r="D2349" s="148"/>
      <c r="E2349" s="154"/>
    </row>
    <row r="2350" spans="4:5" x14ac:dyDescent="0.2">
      <c r="D2350" s="148"/>
      <c r="E2350" s="154"/>
    </row>
    <row r="2351" spans="4:5" x14ac:dyDescent="0.2">
      <c r="D2351" s="148"/>
      <c r="E2351" s="154"/>
    </row>
    <row r="2352" spans="4:5" x14ac:dyDescent="0.2">
      <c r="D2352" s="148"/>
      <c r="E2352" s="154"/>
    </row>
    <row r="2353" spans="4:5" x14ac:dyDescent="0.2">
      <c r="D2353" s="148"/>
      <c r="E2353" s="154"/>
    </row>
    <row r="2354" spans="4:5" x14ac:dyDescent="0.2">
      <c r="D2354" s="148"/>
      <c r="E2354" s="154"/>
    </row>
    <row r="2355" spans="4:5" x14ac:dyDescent="0.2">
      <c r="D2355" s="148"/>
      <c r="E2355" s="154"/>
    </row>
    <row r="2356" spans="4:5" x14ac:dyDescent="0.2">
      <c r="D2356" s="148"/>
      <c r="E2356" s="154"/>
    </row>
    <row r="2357" spans="4:5" x14ac:dyDescent="0.2">
      <c r="D2357" s="148"/>
      <c r="E2357" s="154"/>
    </row>
    <row r="2358" spans="4:5" x14ac:dyDescent="0.2">
      <c r="D2358" s="148"/>
      <c r="E2358" s="154"/>
    </row>
    <row r="2359" spans="4:5" x14ac:dyDescent="0.2">
      <c r="D2359" s="148"/>
      <c r="E2359" s="154"/>
    </row>
    <row r="2360" spans="4:5" x14ac:dyDescent="0.2">
      <c r="D2360" s="148"/>
      <c r="E2360" s="154"/>
    </row>
    <row r="2361" spans="4:5" x14ac:dyDescent="0.2">
      <c r="D2361" s="148"/>
      <c r="E2361" s="154"/>
    </row>
    <row r="2362" spans="4:5" x14ac:dyDescent="0.2">
      <c r="D2362" s="148"/>
      <c r="E2362" s="154"/>
    </row>
    <row r="2363" spans="4:5" x14ac:dyDescent="0.2">
      <c r="D2363" s="148"/>
      <c r="E2363" s="154"/>
    </row>
    <row r="2364" spans="4:5" x14ac:dyDescent="0.2">
      <c r="D2364" s="148"/>
      <c r="E2364" s="154"/>
    </row>
    <row r="2365" spans="4:5" x14ac:dyDescent="0.2">
      <c r="D2365" s="148"/>
      <c r="E2365" s="154"/>
    </row>
    <row r="2366" spans="4:5" x14ac:dyDescent="0.2">
      <c r="D2366" s="148"/>
      <c r="E2366" s="154"/>
    </row>
    <row r="2367" spans="4:5" x14ac:dyDescent="0.2">
      <c r="D2367" s="148"/>
      <c r="E2367" s="154"/>
    </row>
    <row r="2368" spans="4:5" x14ac:dyDescent="0.2">
      <c r="D2368" s="148"/>
      <c r="E2368" s="154"/>
    </row>
    <row r="2369" spans="4:5" x14ac:dyDescent="0.2">
      <c r="D2369" s="148"/>
      <c r="E2369" s="154"/>
    </row>
    <row r="2370" spans="4:5" x14ac:dyDescent="0.2">
      <c r="D2370" s="148"/>
      <c r="E2370" s="154"/>
    </row>
    <row r="2371" spans="4:5" x14ac:dyDescent="0.2">
      <c r="D2371" s="148"/>
      <c r="E2371" s="154"/>
    </row>
    <row r="2372" spans="4:5" x14ac:dyDescent="0.2">
      <c r="D2372" s="148"/>
      <c r="E2372" s="154"/>
    </row>
    <row r="2373" spans="4:5" x14ac:dyDescent="0.2">
      <c r="D2373" s="148"/>
      <c r="E2373" s="154"/>
    </row>
    <row r="2374" spans="4:5" x14ac:dyDescent="0.2">
      <c r="D2374" s="148"/>
      <c r="E2374" s="154"/>
    </row>
    <row r="2375" spans="4:5" x14ac:dyDescent="0.2">
      <c r="D2375" s="148"/>
      <c r="E2375" s="154"/>
    </row>
    <row r="2376" spans="4:5" x14ac:dyDescent="0.2">
      <c r="D2376" s="148"/>
      <c r="E2376" s="154"/>
    </row>
    <row r="2377" spans="4:5" x14ac:dyDescent="0.2">
      <c r="D2377" s="148"/>
      <c r="E2377" s="154"/>
    </row>
    <row r="2378" spans="4:5" x14ac:dyDescent="0.2">
      <c r="D2378" s="148"/>
      <c r="E2378" s="154"/>
    </row>
    <row r="2379" spans="4:5" x14ac:dyDescent="0.2">
      <c r="D2379" s="148"/>
      <c r="E2379" s="154"/>
    </row>
    <row r="2380" spans="4:5" x14ac:dyDescent="0.2">
      <c r="D2380" s="148"/>
      <c r="E2380" s="154"/>
    </row>
    <row r="2381" spans="4:5" x14ac:dyDescent="0.2">
      <c r="D2381" s="148"/>
      <c r="E2381" s="154"/>
    </row>
    <row r="2382" spans="4:5" x14ac:dyDescent="0.2">
      <c r="D2382" s="148"/>
      <c r="E2382" s="154"/>
    </row>
    <row r="2383" spans="4:5" x14ac:dyDescent="0.2">
      <c r="D2383" s="148"/>
      <c r="E2383" s="154"/>
    </row>
    <row r="2384" spans="4:5" x14ac:dyDescent="0.2">
      <c r="D2384" s="148"/>
      <c r="E2384" s="154"/>
    </row>
    <row r="2385" spans="4:5" x14ac:dyDescent="0.2">
      <c r="D2385" s="148"/>
      <c r="E2385" s="154"/>
    </row>
    <row r="2386" spans="4:5" x14ac:dyDescent="0.2">
      <c r="D2386" s="148"/>
      <c r="E2386" s="154"/>
    </row>
    <row r="2387" spans="4:5" x14ac:dyDescent="0.2">
      <c r="D2387" s="148"/>
      <c r="E2387" s="154"/>
    </row>
    <row r="2388" spans="4:5" x14ac:dyDescent="0.2">
      <c r="D2388" s="148"/>
      <c r="E2388" s="154"/>
    </row>
    <row r="2389" spans="4:5" x14ac:dyDescent="0.2">
      <c r="D2389" s="148"/>
      <c r="E2389" s="154"/>
    </row>
    <row r="2390" spans="4:5" x14ac:dyDescent="0.2">
      <c r="D2390" s="148"/>
      <c r="E2390" s="154"/>
    </row>
    <row r="2391" spans="4:5" x14ac:dyDescent="0.2">
      <c r="D2391" s="148"/>
      <c r="E2391" s="154"/>
    </row>
    <row r="2392" spans="4:5" x14ac:dyDescent="0.2">
      <c r="D2392" s="148"/>
      <c r="E2392" s="154"/>
    </row>
    <row r="2393" spans="4:5" x14ac:dyDescent="0.2">
      <c r="D2393" s="148"/>
      <c r="E2393" s="154"/>
    </row>
    <row r="2394" spans="4:5" x14ac:dyDescent="0.2">
      <c r="D2394" s="148"/>
      <c r="E2394" s="154"/>
    </row>
    <row r="2395" spans="4:5" x14ac:dyDescent="0.2">
      <c r="D2395" s="148"/>
      <c r="E2395" s="154"/>
    </row>
    <row r="2396" spans="4:5" x14ac:dyDescent="0.2">
      <c r="D2396" s="148"/>
      <c r="E2396" s="154"/>
    </row>
    <row r="2397" spans="4:5" x14ac:dyDescent="0.2">
      <c r="D2397" s="148"/>
      <c r="E2397" s="154"/>
    </row>
    <row r="2398" spans="4:5" x14ac:dyDescent="0.2">
      <c r="D2398" s="148"/>
      <c r="E2398" s="154"/>
    </row>
    <row r="2399" spans="4:5" x14ac:dyDescent="0.2">
      <c r="D2399" s="148"/>
      <c r="E2399" s="154"/>
    </row>
    <row r="2400" spans="4:5" x14ac:dyDescent="0.2">
      <c r="D2400" s="148"/>
      <c r="E2400" s="154"/>
    </row>
    <row r="2401" spans="4:5" x14ac:dyDescent="0.2">
      <c r="D2401" s="148"/>
      <c r="E2401" s="154"/>
    </row>
    <row r="2402" spans="4:5" x14ac:dyDescent="0.2">
      <c r="D2402" s="148"/>
      <c r="E2402" s="154"/>
    </row>
    <row r="2403" spans="4:5" x14ac:dyDescent="0.2">
      <c r="D2403" s="148"/>
      <c r="E2403" s="154"/>
    </row>
    <row r="2404" spans="4:5" x14ac:dyDescent="0.2">
      <c r="D2404" s="148"/>
      <c r="E2404" s="154"/>
    </row>
    <row r="2405" spans="4:5" x14ac:dyDescent="0.2">
      <c r="D2405" s="148"/>
      <c r="E2405" s="154"/>
    </row>
    <row r="2406" spans="4:5" x14ac:dyDescent="0.2">
      <c r="D2406" s="148"/>
      <c r="E2406" s="154"/>
    </row>
    <row r="2407" spans="4:5" x14ac:dyDescent="0.2">
      <c r="D2407" s="148"/>
      <c r="E2407" s="154"/>
    </row>
    <row r="2408" spans="4:5" x14ac:dyDescent="0.2">
      <c r="D2408" s="148"/>
      <c r="E2408" s="154"/>
    </row>
    <row r="2409" spans="4:5" x14ac:dyDescent="0.2">
      <c r="D2409" s="148"/>
      <c r="E2409" s="154"/>
    </row>
    <row r="2410" spans="4:5" x14ac:dyDescent="0.2">
      <c r="D2410" s="148"/>
      <c r="E2410" s="154"/>
    </row>
    <row r="2411" spans="4:5" x14ac:dyDescent="0.2">
      <c r="D2411" s="148"/>
      <c r="E2411" s="154"/>
    </row>
    <row r="2412" spans="4:5" x14ac:dyDescent="0.2">
      <c r="D2412" s="148"/>
      <c r="E2412" s="154"/>
    </row>
    <row r="2413" spans="4:5" x14ac:dyDescent="0.2">
      <c r="D2413" s="148"/>
      <c r="E2413" s="154"/>
    </row>
    <row r="2414" spans="4:5" x14ac:dyDescent="0.2">
      <c r="D2414" s="148"/>
      <c r="E2414" s="154"/>
    </row>
    <row r="2415" spans="4:5" x14ac:dyDescent="0.2">
      <c r="D2415" s="148"/>
      <c r="E2415" s="154"/>
    </row>
    <row r="2416" spans="4:5" x14ac:dyDescent="0.2">
      <c r="D2416" s="148"/>
      <c r="E2416" s="154"/>
    </row>
    <row r="2417" spans="4:5" x14ac:dyDescent="0.2">
      <c r="D2417" s="148"/>
      <c r="E2417" s="154"/>
    </row>
    <row r="2418" spans="4:5" x14ac:dyDescent="0.2">
      <c r="D2418" s="148"/>
      <c r="E2418" s="154"/>
    </row>
    <row r="2419" spans="4:5" x14ac:dyDescent="0.2">
      <c r="D2419" s="148"/>
      <c r="E2419" s="154"/>
    </row>
    <row r="2420" spans="4:5" x14ac:dyDescent="0.2">
      <c r="D2420" s="148"/>
      <c r="E2420" s="154"/>
    </row>
    <row r="2421" spans="4:5" x14ac:dyDescent="0.2">
      <c r="D2421" s="148"/>
      <c r="E2421" s="154"/>
    </row>
    <row r="2422" spans="4:5" x14ac:dyDescent="0.2">
      <c r="D2422" s="148"/>
      <c r="E2422" s="154"/>
    </row>
    <row r="2423" spans="4:5" x14ac:dyDescent="0.2">
      <c r="D2423" s="148"/>
      <c r="E2423" s="154"/>
    </row>
    <row r="2424" spans="4:5" x14ac:dyDescent="0.2">
      <c r="D2424" s="148"/>
      <c r="E2424" s="154"/>
    </row>
    <row r="2425" spans="4:5" x14ac:dyDescent="0.2">
      <c r="D2425" s="148"/>
      <c r="E2425" s="154"/>
    </row>
    <row r="2426" spans="4:5" x14ac:dyDescent="0.2">
      <c r="D2426" s="148"/>
      <c r="E2426" s="154"/>
    </row>
    <row r="2427" spans="4:5" x14ac:dyDescent="0.2">
      <c r="D2427" s="148"/>
      <c r="E2427" s="154"/>
    </row>
    <row r="2428" spans="4:5" x14ac:dyDescent="0.2">
      <c r="D2428" s="148"/>
      <c r="E2428" s="154"/>
    </row>
    <row r="2429" spans="4:5" x14ac:dyDescent="0.2">
      <c r="D2429" s="148"/>
      <c r="E2429" s="154"/>
    </row>
    <row r="2430" spans="4:5" x14ac:dyDescent="0.2">
      <c r="D2430" s="148"/>
      <c r="E2430" s="154"/>
    </row>
    <row r="2431" spans="4:5" x14ac:dyDescent="0.2">
      <c r="D2431" s="148"/>
      <c r="E2431" s="154"/>
    </row>
    <row r="2432" spans="4:5" x14ac:dyDescent="0.2">
      <c r="D2432" s="148"/>
      <c r="E2432" s="154"/>
    </row>
    <row r="2433" spans="4:5" x14ac:dyDescent="0.2">
      <c r="D2433" s="148"/>
      <c r="E2433" s="154"/>
    </row>
    <row r="2434" spans="4:5" x14ac:dyDescent="0.2">
      <c r="D2434" s="148"/>
      <c r="E2434" s="154"/>
    </row>
    <row r="2435" spans="4:5" x14ac:dyDescent="0.2">
      <c r="D2435" s="148"/>
      <c r="E2435" s="154"/>
    </row>
    <row r="2436" spans="4:5" x14ac:dyDescent="0.2">
      <c r="D2436" s="148"/>
      <c r="E2436" s="154"/>
    </row>
    <row r="2437" spans="4:5" x14ac:dyDescent="0.2">
      <c r="D2437" s="148"/>
      <c r="E2437" s="154"/>
    </row>
    <row r="2438" spans="4:5" x14ac:dyDescent="0.2">
      <c r="D2438" s="148"/>
      <c r="E2438" s="154"/>
    </row>
    <row r="2439" spans="4:5" x14ac:dyDescent="0.2">
      <c r="D2439" s="148"/>
      <c r="E2439" s="154"/>
    </row>
    <row r="2440" spans="4:5" x14ac:dyDescent="0.2">
      <c r="D2440" s="148"/>
      <c r="E2440" s="154"/>
    </row>
    <row r="2441" spans="4:5" x14ac:dyDescent="0.2">
      <c r="D2441" s="148"/>
      <c r="E2441" s="154"/>
    </row>
    <row r="2442" spans="4:5" x14ac:dyDescent="0.2">
      <c r="D2442" s="148"/>
      <c r="E2442" s="154"/>
    </row>
    <row r="2443" spans="4:5" x14ac:dyDescent="0.2">
      <c r="D2443" s="148"/>
      <c r="E2443" s="154"/>
    </row>
    <row r="2444" spans="4:5" x14ac:dyDescent="0.2">
      <c r="D2444" s="148"/>
      <c r="E2444" s="154"/>
    </row>
    <row r="2445" spans="4:5" x14ac:dyDescent="0.2">
      <c r="D2445" s="148"/>
      <c r="E2445" s="154"/>
    </row>
    <row r="2446" spans="4:5" x14ac:dyDescent="0.2">
      <c r="D2446" s="148"/>
      <c r="E2446" s="154"/>
    </row>
    <row r="2447" spans="4:5" x14ac:dyDescent="0.2">
      <c r="D2447" s="148"/>
      <c r="E2447" s="154"/>
    </row>
    <row r="2448" spans="4:5" x14ac:dyDescent="0.2">
      <c r="D2448" s="148"/>
      <c r="E2448" s="154"/>
    </row>
    <row r="2449" spans="4:5" x14ac:dyDescent="0.2">
      <c r="D2449" s="148"/>
      <c r="E2449" s="154"/>
    </row>
    <row r="2450" spans="4:5" x14ac:dyDescent="0.2">
      <c r="D2450" s="148"/>
      <c r="E2450" s="154"/>
    </row>
    <row r="2451" spans="4:5" x14ac:dyDescent="0.2">
      <c r="D2451" s="148"/>
      <c r="E2451" s="154"/>
    </row>
    <row r="2452" spans="4:5" x14ac:dyDescent="0.2">
      <c r="D2452" s="148"/>
      <c r="E2452" s="154"/>
    </row>
    <row r="2453" spans="4:5" x14ac:dyDescent="0.2">
      <c r="D2453" s="148"/>
      <c r="E2453" s="154"/>
    </row>
    <row r="2454" spans="4:5" x14ac:dyDescent="0.2">
      <c r="D2454" s="148"/>
      <c r="E2454" s="154"/>
    </row>
    <row r="2455" spans="4:5" x14ac:dyDescent="0.2">
      <c r="D2455" s="148"/>
      <c r="E2455" s="154"/>
    </row>
    <row r="2456" spans="4:5" x14ac:dyDescent="0.2">
      <c r="D2456" s="148"/>
      <c r="E2456" s="154"/>
    </row>
    <row r="2457" spans="4:5" x14ac:dyDescent="0.2">
      <c r="D2457" s="148"/>
      <c r="E2457" s="154"/>
    </row>
    <row r="2458" spans="4:5" x14ac:dyDescent="0.2">
      <c r="D2458" s="148"/>
      <c r="E2458" s="154"/>
    </row>
    <row r="2459" spans="4:5" x14ac:dyDescent="0.2">
      <c r="D2459" s="148"/>
      <c r="E2459" s="154"/>
    </row>
    <row r="2460" spans="4:5" x14ac:dyDescent="0.2">
      <c r="D2460" s="148"/>
      <c r="E2460" s="154"/>
    </row>
    <row r="2461" spans="4:5" x14ac:dyDescent="0.2">
      <c r="D2461" s="148"/>
      <c r="E2461" s="154"/>
    </row>
    <row r="2462" spans="4:5" x14ac:dyDescent="0.2">
      <c r="D2462" s="148"/>
      <c r="E2462" s="154"/>
    </row>
    <row r="2463" spans="4:5" x14ac:dyDescent="0.2">
      <c r="D2463" s="148"/>
      <c r="E2463" s="154"/>
    </row>
    <row r="2464" spans="4:5" x14ac:dyDescent="0.2">
      <c r="D2464" s="148"/>
      <c r="E2464" s="154"/>
    </row>
    <row r="2465" spans="4:5" x14ac:dyDescent="0.2">
      <c r="D2465" s="148"/>
      <c r="E2465" s="154"/>
    </row>
    <row r="2466" spans="4:5" x14ac:dyDescent="0.2">
      <c r="D2466" s="148"/>
      <c r="E2466" s="154"/>
    </row>
    <row r="2467" spans="4:5" x14ac:dyDescent="0.2">
      <c r="D2467" s="148"/>
      <c r="E2467" s="154"/>
    </row>
    <row r="2468" spans="4:5" x14ac:dyDescent="0.2">
      <c r="D2468" s="148"/>
      <c r="E2468" s="154"/>
    </row>
    <row r="2469" spans="4:5" x14ac:dyDescent="0.2">
      <c r="D2469" s="148"/>
      <c r="E2469" s="154"/>
    </row>
    <row r="2470" spans="4:5" x14ac:dyDescent="0.2">
      <c r="D2470" s="148"/>
      <c r="E2470" s="154"/>
    </row>
    <row r="2471" spans="4:5" x14ac:dyDescent="0.2">
      <c r="D2471" s="148"/>
      <c r="E2471" s="154"/>
    </row>
    <row r="2472" spans="4:5" x14ac:dyDescent="0.2">
      <c r="D2472" s="148"/>
      <c r="E2472" s="154"/>
    </row>
    <row r="2473" spans="4:5" x14ac:dyDescent="0.2">
      <c r="D2473" s="148"/>
      <c r="E2473" s="154"/>
    </row>
    <row r="2474" spans="4:5" x14ac:dyDescent="0.2">
      <c r="D2474" s="148"/>
      <c r="E2474" s="154"/>
    </row>
    <row r="2475" spans="4:5" x14ac:dyDescent="0.2">
      <c r="D2475" s="148"/>
      <c r="E2475" s="154"/>
    </row>
    <row r="2476" spans="4:5" x14ac:dyDescent="0.2">
      <c r="D2476" s="148"/>
      <c r="E2476" s="154"/>
    </row>
    <row r="2477" spans="4:5" x14ac:dyDescent="0.2">
      <c r="D2477" s="148"/>
      <c r="E2477" s="154"/>
    </row>
    <row r="2478" spans="4:5" x14ac:dyDescent="0.2">
      <c r="D2478" s="148"/>
      <c r="E2478" s="154"/>
    </row>
    <row r="2479" spans="4:5" x14ac:dyDescent="0.2">
      <c r="D2479" s="148"/>
      <c r="E2479" s="154"/>
    </row>
    <row r="2480" spans="4:5" x14ac:dyDescent="0.2">
      <c r="D2480" s="148"/>
      <c r="E2480" s="154"/>
    </row>
    <row r="2481" spans="4:5" x14ac:dyDescent="0.2">
      <c r="D2481" s="148"/>
      <c r="E2481" s="154"/>
    </row>
    <row r="2482" spans="4:5" x14ac:dyDescent="0.2">
      <c r="D2482" s="148"/>
      <c r="E2482" s="154"/>
    </row>
    <row r="2483" spans="4:5" x14ac:dyDescent="0.2">
      <c r="D2483" s="148"/>
      <c r="E2483" s="154"/>
    </row>
    <row r="2484" spans="4:5" x14ac:dyDescent="0.2">
      <c r="D2484" s="148"/>
      <c r="E2484" s="154"/>
    </row>
    <row r="2485" spans="4:5" x14ac:dyDescent="0.2">
      <c r="D2485" s="148"/>
      <c r="E2485" s="154"/>
    </row>
    <row r="2486" spans="4:5" x14ac:dyDescent="0.2">
      <c r="D2486" s="148"/>
      <c r="E2486" s="154"/>
    </row>
    <row r="2487" spans="4:5" x14ac:dyDescent="0.2">
      <c r="D2487" s="148"/>
      <c r="E2487" s="154"/>
    </row>
    <row r="2488" spans="4:5" x14ac:dyDescent="0.2">
      <c r="D2488" s="148"/>
      <c r="E2488" s="154"/>
    </row>
    <row r="2489" spans="4:5" x14ac:dyDescent="0.2">
      <c r="D2489" s="148"/>
      <c r="E2489" s="154"/>
    </row>
    <row r="2490" spans="4:5" x14ac:dyDescent="0.2">
      <c r="D2490" s="148"/>
      <c r="E2490" s="154"/>
    </row>
    <row r="2491" spans="4:5" x14ac:dyDescent="0.2">
      <c r="D2491" s="148"/>
      <c r="E2491" s="154"/>
    </row>
    <row r="2492" spans="4:5" x14ac:dyDescent="0.2">
      <c r="D2492" s="148"/>
      <c r="E2492" s="154"/>
    </row>
    <row r="2493" spans="4:5" x14ac:dyDescent="0.2">
      <c r="D2493" s="148"/>
      <c r="E2493" s="154"/>
    </row>
    <row r="2494" spans="4:5" x14ac:dyDescent="0.2">
      <c r="D2494" s="148"/>
      <c r="E2494" s="154"/>
    </row>
    <row r="2495" spans="4:5" x14ac:dyDescent="0.2">
      <c r="D2495" s="148"/>
      <c r="E2495" s="154"/>
    </row>
    <row r="2496" spans="4:5" x14ac:dyDescent="0.2">
      <c r="D2496" s="148"/>
      <c r="E2496" s="154"/>
    </row>
    <row r="2497" spans="4:5" x14ac:dyDescent="0.2">
      <c r="D2497" s="148"/>
      <c r="E2497" s="154"/>
    </row>
    <row r="2498" spans="4:5" x14ac:dyDescent="0.2">
      <c r="D2498" s="148"/>
      <c r="E2498" s="154"/>
    </row>
    <row r="2499" spans="4:5" x14ac:dyDescent="0.2">
      <c r="D2499" s="148"/>
      <c r="E2499" s="154"/>
    </row>
    <row r="2500" spans="4:5" x14ac:dyDescent="0.2">
      <c r="D2500" s="148"/>
      <c r="E2500" s="154"/>
    </row>
    <row r="2501" spans="4:5" x14ac:dyDescent="0.2">
      <c r="D2501" s="148"/>
      <c r="E2501" s="154"/>
    </row>
    <row r="2502" spans="4:5" x14ac:dyDescent="0.2">
      <c r="D2502" s="148"/>
      <c r="E2502" s="154"/>
    </row>
    <row r="2503" spans="4:5" x14ac:dyDescent="0.2">
      <c r="D2503" s="148"/>
      <c r="E2503" s="154"/>
    </row>
    <row r="2504" spans="4:5" x14ac:dyDescent="0.2">
      <c r="D2504" s="148"/>
      <c r="E2504" s="154"/>
    </row>
    <row r="2505" spans="4:5" x14ac:dyDescent="0.2">
      <c r="D2505" s="148"/>
      <c r="E2505" s="154"/>
    </row>
    <row r="2506" spans="4:5" x14ac:dyDescent="0.2">
      <c r="D2506" s="148"/>
      <c r="E2506" s="154"/>
    </row>
    <row r="2507" spans="4:5" x14ac:dyDescent="0.2">
      <c r="D2507" s="148"/>
      <c r="E2507" s="154"/>
    </row>
    <row r="2508" spans="4:5" x14ac:dyDescent="0.2">
      <c r="D2508" s="148"/>
      <c r="E2508" s="154"/>
    </row>
    <row r="2509" spans="4:5" x14ac:dyDescent="0.2">
      <c r="D2509" s="148"/>
      <c r="E2509" s="154"/>
    </row>
    <row r="2510" spans="4:5" x14ac:dyDescent="0.2">
      <c r="D2510" s="148"/>
      <c r="E2510" s="154"/>
    </row>
    <row r="2511" spans="4:5" x14ac:dyDescent="0.2">
      <c r="D2511" s="148"/>
      <c r="E2511" s="154"/>
    </row>
    <row r="2512" spans="4:5" x14ac:dyDescent="0.2">
      <c r="D2512" s="148"/>
      <c r="E2512" s="154"/>
    </row>
    <row r="2513" spans="4:5" x14ac:dyDescent="0.2">
      <c r="D2513" s="148"/>
      <c r="E2513" s="154"/>
    </row>
    <row r="2514" spans="4:5" x14ac:dyDescent="0.2">
      <c r="D2514" s="148"/>
      <c r="E2514" s="154"/>
    </row>
    <row r="2515" spans="4:5" x14ac:dyDescent="0.2">
      <c r="D2515" s="148"/>
      <c r="E2515" s="154"/>
    </row>
    <row r="2516" spans="4:5" x14ac:dyDescent="0.2">
      <c r="D2516" s="148"/>
      <c r="E2516" s="154"/>
    </row>
    <row r="2517" spans="4:5" x14ac:dyDescent="0.2">
      <c r="D2517" s="148"/>
      <c r="E2517" s="154"/>
    </row>
    <row r="2518" spans="4:5" x14ac:dyDescent="0.2">
      <c r="D2518" s="148"/>
      <c r="E2518" s="154"/>
    </row>
    <row r="2519" spans="4:5" x14ac:dyDescent="0.2">
      <c r="D2519" s="148"/>
      <c r="E2519" s="154"/>
    </row>
    <row r="2520" spans="4:5" x14ac:dyDescent="0.2">
      <c r="D2520" s="148"/>
      <c r="E2520" s="154"/>
    </row>
    <row r="2521" spans="4:5" x14ac:dyDescent="0.2">
      <c r="D2521" s="148"/>
      <c r="E2521" s="154"/>
    </row>
    <row r="2522" spans="4:5" x14ac:dyDescent="0.2">
      <c r="D2522" s="148"/>
      <c r="E2522" s="154"/>
    </row>
    <row r="2523" spans="4:5" x14ac:dyDescent="0.2">
      <c r="D2523" s="148"/>
      <c r="E2523" s="154"/>
    </row>
    <row r="2524" spans="4:5" x14ac:dyDescent="0.2">
      <c r="D2524" s="148"/>
      <c r="E2524" s="154"/>
    </row>
    <row r="2525" spans="4:5" x14ac:dyDescent="0.2">
      <c r="D2525" s="148"/>
      <c r="E2525" s="154"/>
    </row>
    <row r="2526" spans="4:5" x14ac:dyDescent="0.2">
      <c r="D2526" s="148"/>
      <c r="E2526" s="154"/>
    </row>
    <row r="2527" spans="4:5" x14ac:dyDescent="0.2">
      <c r="D2527" s="148"/>
      <c r="E2527" s="154"/>
    </row>
    <row r="2528" spans="4:5" x14ac:dyDescent="0.2">
      <c r="D2528" s="148"/>
      <c r="E2528" s="154"/>
    </row>
    <row r="2529" spans="4:5" x14ac:dyDescent="0.2">
      <c r="D2529" s="148"/>
      <c r="E2529" s="154"/>
    </row>
    <row r="2530" spans="4:5" x14ac:dyDescent="0.2">
      <c r="D2530" s="148"/>
      <c r="E2530" s="154"/>
    </row>
    <row r="2531" spans="4:5" x14ac:dyDescent="0.2">
      <c r="D2531" s="148"/>
      <c r="E2531" s="154"/>
    </row>
    <row r="2532" spans="4:5" x14ac:dyDescent="0.2">
      <c r="D2532" s="148"/>
      <c r="E2532" s="154"/>
    </row>
    <row r="2533" spans="4:5" x14ac:dyDescent="0.2">
      <c r="D2533" s="148"/>
      <c r="E2533" s="154"/>
    </row>
    <row r="2534" spans="4:5" x14ac:dyDescent="0.2">
      <c r="D2534" s="148"/>
      <c r="E2534" s="154"/>
    </row>
    <row r="2535" spans="4:5" x14ac:dyDescent="0.2">
      <c r="D2535" s="148"/>
      <c r="E2535" s="154"/>
    </row>
    <row r="2536" spans="4:5" x14ac:dyDescent="0.2">
      <c r="D2536" s="148"/>
      <c r="E2536" s="154"/>
    </row>
    <row r="2537" spans="4:5" x14ac:dyDescent="0.2">
      <c r="D2537" s="148"/>
      <c r="E2537" s="154"/>
    </row>
    <row r="2538" spans="4:5" x14ac:dyDescent="0.2">
      <c r="D2538" s="148"/>
      <c r="E2538" s="154"/>
    </row>
    <row r="2539" spans="4:5" x14ac:dyDescent="0.2">
      <c r="D2539" s="148"/>
      <c r="E2539" s="154"/>
    </row>
    <row r="2540" spans="4:5" x14ac:dyDescent="0.2">
      <c r="D2540" s="148"/>
      <c r="E2540" s="154"/>
    </row>
    <row r="2541" spans="4:5" x14ac:dyDescent="0.2">
      <c r="D2541" s="148"/>
      <c r="E2541" s="154"/>
    </row>
    <row r="2542" spans="4:5" x14ac:dyDescent="0.2">
      <c r="D2542" s="148"/>
      <c r="E2542" s="154"/>
    </row>
    <row r="2543" spans="4:5" x14ac:dyDescent="0.2">
      <c r="D2543" s="148"/>
      <c r="E2543" s="154"/>
    </row>
    <row r="2544" spans="4:5" x14ac:dyDescent="0.2">
      <c r="D2544" s="148"/>
      <c r="E2544" s="154"/>
    </row>
    <row r="2545" spans="4:5" x14ac:dyDescent="0.2">
      <c r="D2545" s="148"/>
      <c r="E2545" s="154"/>
    </row>
    <row r="2546" spans="4:5" x14ac:dyDescent="0.2">
      <c r="D2546" s="148"/>
      <c r="E2546" s="154"/>
    </row>
    <row r="2547" spans="4:5" x14ac:dyDescent="0.2">
      <c r="D2547" s="148"/>
      <c r="E2547" s="154"/>
    </row>
    <row r="2548" spans="4:5" x14ac:dyDescent="0.2">
      <c r="D2548" s="148"/>
      <c r="E2548" s="154"/>
    </row>
    <row r="2549" spans="4:5" x14ac:dyDescent="0.2">
      <c r="D2549" s="148"/>
      <c r="E2549" s="154"/>
    </row>
    <row r="2550" spans="4:5" x14ac:dyDescent="0.2">
      <c r="D2550" s="148"/>
      <c r="E2550" s="154"/>
    </row>
    <row r="2551" spans="4:5" x14ac:dyDescent="0.2">
      <c r="D2551" s="148"/>
      <c r="E2551" s="154"/>
    </row>
    <row r="2552" spans="4:5" x14ac:dyDescent="0.2">
      <c r="D2552" s="148"/>
      <c r="E2552" s="154"/>
    </row>
    <row r="2553" spans="4:5" x14ac:dyDescent="0.2">
      <c r="D2553" s="148"/>
      <c r="E2553" s="154"/>
    </row>
    <row r="2554" spans="4:5" x14ac:dyDescent="0.2">
      <c r="D2554" s="148"/>
      <c r="E2554" s="154"/>
    </row>
    <row r="2555" spans="4:5" x14ac:dyDescent="0.2">
      <c r="D2555" s="148"/>
      <c r="E2555" s="154"/>
    </row>
    <row r="2556" spans="4:5" x14ac:dyDescent="0.2">
      <c r="D2556" s="148"/>
      <c r="E2556" s="154"/>
    </row>
    <row r="2557" spans="4:5" x14ac:dyDescent="0.2">
      <c r="D2557" s="148"/>
      <c r="E2557" s="154"/>
    </row>
    <row r="2558" spans="4:5" x14ac:dyDescent="0.2">
      <c r="D2558" s="148"/>
      <c r="E2558" s="154"/>
    </row>
    <row r="2559" spans="4:5" x14ac:dyDescent="0.2">
      <c r="D2559" s="148"/>
      <c r="E2559" s="154"/>
    </row>
    <row r="2560" spans="4:5" x14ac:dyDescent="0.2">
      <c r="D2560" s="148"/>
      <c r="E2560" s="154"/>
    </row>
    <row r="2561" spans="4:5" x14ac:dyDescent="0.2">
      <c r="D2561" s="148"/>
      <c r="E2561" s="154"/>
    </row>
    <row r="2562" spans="4:5" x14ac:dyDescent="0.2">
      <c r="D2562" s="148"/>
      <c r="E2562" s="154"/>
    </row>
    <row r="2563" spans="4:5" x14ac:dyDescent="0.2">
      <c r="D2563" s="148"/>
      <c r="E2563" s="154"/>
    </row>
    <row r="2564" spans="4:5" x14ac:dyDescent="0.2">
      <c r="D2564" s="148"/>
      <c r="E2564" s="154"/>
    </row>
    <row r="2565" spans="4:5" x14ac:dyDescent="0.2">
      <c r="D2565" s="148"/>
      <c r="E2565" s="154"/>
    </row>
    <row r="2566" spans="4:5" x14ac:dyDescent="0.2">
      <c r="D2566" s="148"/>
      <c r="E2566" s="154"/>
    </row>
    <row r="2567" spans="4:5" x14ac:dyDescent="0.2">
      <c r="D2567" s="148"/>
      <c r="E2567" s="154"/>
    </row>
    <row r="2568" spans="4:5" x14ac:dyDescent="0.2">
      <c r="D2568" s="148"/>
      <c r="E2568" s="154"/>
    </row>
    <row r="2569" spans="4:5" x14ac:dyDescent="0.2">
      <c r="D2569" s="148"/>
      <c r="E2569" s="154"/>
    </row>
    <row r="2570" spans="4:5" x14ac:dyDescent="0.2">
      <c r="D2570" s="148"/>
      <c r="E2570" s="154"/>
    </row>
    <row r="2571" spans="4:5" x14ac:dyDescent="0.2">
      <c r="D2571" s="148"/>
      <c r="E2571" s="154"/>
    </row>
    <row r="2572" spans="4:5" x14ac:dyDescent="0.2">
      <c r="D2572" s="148"/>
      <c r="E2572" s="154"/>
    </row>
    <row r="2573" spans="4:5" x14ac:dyDescent="0.2">
      <c r="D2573" s="148"/>
      <c r="E2573" s="154"/>
    </row>
    <row r="2574" spans="4:5" x14ac:dyDescent="0.2">
      <c r="D2574" s="148"/>
      <c r="E2574" s="154"/>
    </row>
    <row r="2575" spans="4:5" x14ac:dyDescent="0.2">
      <c r="D2575" s="148"/>
      <c r="E2575" s="154"/>
    </row>
    <row r="2576" spans="4:5" x14ac:dyDescent="0.2">
      <c r="D2576" s="148"/>
      <c r="E2576" s="154"/>
    </row>
    <row r="2577" spans="4:5" x14ac:dyDescent="0.2">
      <c r="D2577" s="148"/>
      <c r="E2577" s="154"/>
    </row>
    <row r="2578" spans="4:5" x14ac:dyDescent="0.2">
      <c r="D2578" s="148"/>
      <c r="E2578" s="154"/>
    </row>
    <row r="2579" spans="4:5" x14ac:dyDescent="0.2">
      <c r="D2579" s="148"/>
      <c r="E2579" s="154"/>
    </row>
    <row r="2580" spans="4:5" x14ac:dyDescent="0.2">
      <c r="D2580" s="148"/>
      <c r="E2580" s="154"/>
    </row>
    <row r="2581" spans="4:5" x14ac:dyDescent="0.2">
      <c r="D2581" s="148"/>
      <c r="E2581" s="154"/>
    </row>
    <row r="2582" spans="4:5" x14ac:dyDescent="0.2">
      <c r="D2582" s="148"/>
      <c r="E2582" s="154"/>
    </row>
    <row r="2583" spans="4:5" x14ac:dyDescent="0.2">
      <c r="D2583" s="148"/>
      <c r="E2583" s="154"/>
    </row>
    <row r="2584" spans="4:5" x14ac:dyDescent="0.2">
      <c r="D2584" s="148"/>
      <c r="E2584" s="154"/>
    </row>
    <row r="2585" spans="4:5" x14ac:dyDescent="0.2">
      <c r="D2585" s="148"/>
      <c r="E2585" s="154"/>
    </row>
    <row r="2586" spans="4:5" x14ac:dyDescent="0.2">
      <c r="D2586" s="148"/>
      <c r="E2586" s="154"/>
    </row>
    <row r="2587" spans="4:5" x14ac:dyDescent="0.2">
      <c r="D2587" s="148"/>
      <c r="E2587" s="154"/>
    </row>
    <row r="2588" spans="4:5" x14ac:dyDescent="0.2">
      <c r="D2588" s="148"/>
      <c r="E2588" s="154"/>
    </row>
    <row r="2589" spans="4:5" x14ac:dyDescent="0.2">
      <c r="D2589" s="148"/>
      <c r="E2589" s="154"/>
    </row>
    <row r="2590" spans="4:5" x14ac:dyDescent="0.2">
      <c r="D2590" s="148"/>
      <c r="E2590" s="154"/>
    </row>
    <row r="2591" spans="4:5" x14ac:dyDescent="0.2">
      <c r="D2591" s="148"/>
      <c r="E2591" s="154"/>
    </row>
    <row r="2592" spans="4:5" x14ac:dyDescent="0.2">
      <c r="D2592" s="148"/>
      <c r="E2592" s="154"/>
    </row>
    <row r="2593" spans="4:5" x14ac:dyDescent="0.2">
      <c r="D2593" s="148"/>
      <c r="E2593" s="154"/>
    </row>
    <row r="2594" spans="4:5" x14ac:dyDescent="0.2">
      <c r="D2594" s="148"/>
      <c r="E2594" s="154"/>
    </row>
    <row r="2595" spans="4:5" x14ac:dyDescent="0.2">
      <c r="D2595" s="148"/>
      <c r="E2595" s="154"/>
    </row>
    <row r="2596" spans="4:5" x14ac:dyDescent="0.2">
      <c r="D2596" s="148"/>
      <c r="E2596" s="154"/>
    </row>
    <row r="2597" spans="4:5" x14ac:dyDescent="0.2">
      <c r="D2597" s="148"/>
      <c r="E2597" s="154"/>
    </row>
    <row r="2598" spans="4:5" x14ac:dyDescent="0.2">
      <c r="D2598" s="148"/>
      <c r="E2598" s="154"/>
    </row>
    <row r="2599" spans="4:5" x14ac:dyDescent="0.2">
      <c r="D2599" s="148"/>
      <c r="E2599" s="154"/>
    </row>
    <row r="2600" spans="4:5" x14ac:dyDescent="0.2">
      <c r="D2600" s="148"/>
      <c r="E2600" s="154"/>
    </row>
    <row r="2601" spans="4:5" x14ac:dyDescent="0.2">
      <c r="D2601" s="148"/>
      <c r="E2601" s="154"/>
    </row>
    <row r="2602" spans="4:5" x14ac:dyDescent="0.2">
      <c r="D2602" s="148"/>
      <c r="E2602" s="154"/>
    </row>
    <row r="2603" spans="4:5" x14ac:dyDescent="0.2">
      <c r="D2603" s="148"/>
      <c r="E2603" s="154"/>
    </row>
    <row r="2604" spans="4:5" x14ac:dyDescent="0.2">
      <c r="D2604" s="148"/>
      <c r="E2604" s="154"/>
    </row>
    <row r="2605" spans="4:5" x14ac:dyDescent="0.2">
      <c r="D2605" s="148"/>
      <c r="E2605" s="154"/>
    </row>
    <row r="2606" spans="4:5" x14ac:dyDescent="0.2">
      <c r="D2606" s="148"/>
      <c r="E2606" s="154"/>
    </row>
    <row r="2607" spans="4:5" x14ac:dyDescent="0.2">
      <c r="D2607" s="148"/>
      <c r="E2607" s="154"/>
    </row>
    <row r="2608" spans="4:5" x14ac:dyDescent="0.2">
      <c r="D2608" s="148"/>
      <c r="E2608" s="154"/>
    </row>
    <row r="2609" spans="4:5" x14ac:dyDescent="0.2">
      <c r="D2609" s="148"/>
      <c r="E2609" s="154"/>
    </row>
    <row r="2610" spans="4:5" x14ac:dyDescent="0.2">
      <c r="D2610" s="148"/>
      <c r="E2610" s="154"/>
    </row>
    <row r="2611" spans="4:5" x14ac:dyDescent="0.2">
      <c r="D2611" s="148"/>
      <c r="E2611" s="154"/>
    </row>
    <row r="2612" spans="4:5" x14ac:dyDescent="0.2">
      <c r="D2612" s="148"/>
      <c r="E2612" s="154"/>
    </row>
    <row r="2613" spans="4:5" x14ac:dyDescent="0.2">
      <c r="D2613" s="148"/>
      <c r="E2613" s="154"/>
    </row>
    <row r="2614" spans="4:5" x14ac:dyDescent="0.2">
      <c r="D2614" s="148"/>
      <c r="E2614" s="154"/>
    </row>
    <row r="2615" spans="4:5" x14ac:dyDescent="0.2">
      <c r="D2615" s="148"/>
      <c r="E2615" s="154"/>
    </row>
    <row r="2616" spans="4:5" x14ac:dyDescent="0.2">
      <c r="D2616" s="148"/>
      <c r="E2616" s="154"/>
    </row>
    <row r="2617" spans="4:5" x14ac:dyDescent="0.2">
      <c r="D2617" s="148"/>
      <c r="E2617" s="154"/>
    </row>
    <row r="2618" spans="4:5" x14ac:dyDescent="0.2">
      <c r="D2618" s="148"/>
      <c r="E2618" s="154"/>
    </row>
    <row r="2619" spans="4:5" x14ac:dyDescent="0.2">
      <c r="D2619" s="148"/>
      <c r="E2619" s="154"/>
    </row>
    <row r="2620" spans="4:5" x14ac:dyDescent="0.2">
      <c r="D2620" s="148"/>
      <c r="E2620" s="154"/>
    </row>
    <row r="2621" spans="4:5" x14ac:dyDescent="0.2">
      <c r="D2621" s="148"/>
      <c r="E2621" s="154"/>
    </row>
    <row r="2622" spans="4:5" x14ac:dyDescent="0.2">
      <c r="D2622" s="148"/>
      <c r="E2622" s="154"/>
    </row>
    <row r="2623" spans="4:5" x14ac:dyDescent="0.2">
      <c r="D2623" s="148"/>
      <c r="E2623" s="154"/>
    </row>
    <row r="2624" spans="4:5" x14ac:dyDescent="0.2">
      <c r="D2624" s="148"/>
      <c r="E2624" s="154"/>
    </row>
    <row r="2625" spans="4:5" x14ac:dyDescent="0.2">
      <c r="D2625" s="148"/>
      <c r="E2625" s="154"/>
    </row>
    <row r="2626" spans="4:5" x14ac:dyDescent="0.2">
      <c r="D2626" s="148"/>
      <c r="E2626" s="154"/>
    </row>
    <row r="2627" spans="4:5" x14ac:dyDescent="0.2">
      <c r="D2627" s="148"/>
      <c r="E2627" s="154"/>
    </row>
    <row r="2628" spans="4:5" x14ac:dyDescent="0.2">
      <c r="D2628" s="148"/>
      <c r="E2628" s="154"/>
    </row>
    <row r="2629" spans="4:5" x14ac:dyDescent="0.2">
      <c r="D2629" s="148"/>
      <c r="E2629" s="154"/>
    </row>
    <row r="2630" spans="4:5" x14ac:dyDescent="0.2">
      <c r="D2630" s="148"/>
      <c r="E2630" s="154"/>
    </row>
    <row r="2631" spans="4:5" x14ac:dyDescent="0.2">
      <c r="D2631" s="148"/>
      <c r="E2631" s="154"/>
    </row>
    <row r="2632" spans="4:5" x14ac:dyDescent="0.2">
      <c r="D2632" s="148"/>
      <c r="E2632" s="154"/>
    </row>
    <row r="2633" spans="4:5" x14ac:dyDescent="0.2">
      <c r="D2633" s="148"/>
      <c r="E2633" s="154"/>
    </row>
    <row r="2634" spans="4:5" x14ac:dyDescent="0.2">
      <c r="D2634" s="148"/>
      <c r="E2634" s="154"/>
    </row>
    <row r="2635" spans="4:5" x14ac:dyDescent="0.2">
      <c r="D2635" s="148"/>
      <c r="E2635" s="154"/>
    </row>
    <row r="2636" spans="4:5" x14ac:dyDescent="0.2">
      <c r="D2636" s="148"/>
      <c r="E2636" s="154"/>
    </row>
    <row r="2637" spans="4:5" x14ac:dyDescent="0.2">
      <c r="D2637" s="148"/>
      <c r="E2637" s="154"/>
    </row>
    <row r="2638" spans="4:5" x14ac:dyDescent="0.2">
      <c r="D2638" s="148"/>
      <c r="E2638" s="154"/>
    </row>
    <row r="2639" spans="4:5" x14ac:dyDescent="0.2">
      <c r="D2639" s="148"/>
      <c r="E2639" s="154"/>
    </row>
    <row r="2640" spans="4:5" x14ac:dyDescent="0.2">
      <c r="D2640" s="148"/>
      <c r="E2640" s="154"/>
    </row>
    <row r="2641" spans="4:5" x14ac:dyDescent="0.2">
      <c r="D2641" s="148"/>
      <c r="E2641" s="154"/>
    </row>
    <row r="2642" spans="4:5" x14ac:dyDescent="0.2">
      <c r="D2642" s="148"/>
      <c r="E2642" s="154"/>
    </row>
    <row r="2643" spans="4:5" x14ac:dyDescent="0.2">
      <c r="D2643" s="148"/>
      <c r="E2643" s="154"/>
    </row>
    <row r="2644" spans="4:5" x14ac:dyDescent="0.2">
      <c r="D2644" s="148"/>
      <c r="E2644" s="154"/>
    </row>
    <row r="2645" spans="4:5" x14ac:dyDescent="0.2">
      <c r="D2645" s="148"/>
      <c r="E2645" s="154"/>
    </row>
    <row r="2646" spans="4:5" x14ac:dyDescent="0.2">
      <c r="D2646" s="148"/>
      <c r="E2646" s="154"/>
    </row>
    <row r="2647" spans="4:5" x14ac:dyDescent="0.2">
      <c r="D2647" s="148"/>
      <c r="E2647" s="154"/>
    </row>
    <row r="2648" spans="4:5" x14ac:dyDescent="0.2">
      <c r="D2648" s="148"/>
      <c r="E2648" s="154"/>
    </row>
    <row r="2649" spans="4:5" x14ac:dyDescent="0.2">
      <c r="D2649" s="148"/>
      <c r="E2649" s="154"/>
    </row>
    <row r="2650" spans="4:5" x14ac:dyDescent="0.2">
      <c r="D2650" s="148"/>
      <c r="E2650" s="154"/>
    </row>
    <row r="2651" spans="4:5" x14ac:dyDescent="0.2">
      <c r="D2651" s="148"/>
      <c r="E2651" s="154"/>
    </row>
    <row r="2652" spans="4:5" x14ac:dyDescent="0.2">
      <c r="D2652" s="148"/>
      <c r="E2652" s="154"/>
    </row>
    <row r="2653" spans="4:5" x14ac:dyDescent="0.2">
      <c r="D2653" s="148"/>
      <c r="E2653" s="154"/>
    </row>
    <row r="2654" spans="4:5" x14ac:dyDescent="0.2">
      <c r="D2654" s="148"/>
      <c r="E2654" s="154"/>
    </row>
    <row r="2655" spans="4:5" x14ac:dyDescent="0.2">
      <c r="D2655" s="148"/>
      <c r="E2655" s="154"/>
    </row>
    <row r="2656" spans="4:5" x14ac:dyDescent="0.2">
      <c r="D2656" s="148"/>
      <c r="E2656" s="154"/>
    </row>
    <row r="2657" spans="4:5" x14ac:dyDescent="0.2">
      <c r="D2657" s="148"/>
      <c r="E2657" s="154"/>
    </row>
    <row r="2658" spans="4:5" x14ac:dyDescent="0.2">
      <c r="D2658" s="148"/>
      <c r="E2658" s="154"/>
    </row>
    <row r="2659" spans="4:5" x14ac:dyDescent="0.2">
      <c r="D2659" s="148"/>
      <c r="E2659" s="154"/>
    </row>
    <row r="2660" spans="4:5" x14ac:dyDescent="0.2">
      <c r="D2660" s="148"/>
      <c r="E2660" s="154"/>
    </row>
    <row r="2661" spans="4:5" x14ac:dyDescent="0.2">
      <c r="D2661" s="148"/>
      <c r="E2661" s="154"/>
    </row>
    <row r="2662" spans="4:5" x14ac:dyDescent="0.2">
      <c r="D2662" s="148"/>
      <c r="E2662" s="154"/>
    </row>
    <row r="2663" spans="4:5" x14ac:dyDescent="0.2">
      <c r="D2663" s="148"/>
      <c r="E2663" s="154"/>
    </row>
    <row r="2664" spans="4:5" x14ac:dyDescent="0.2">
      <c r="D2664" s="148"/>
      <c r="E2664" s="154"/>
    </row>
    <row r="2665" spans="4:5" x14ac:dyDescent="0.2">
      <c r="D2665" s="148"/>
      <c r="E2665" s="154"/>
    </row>
    <row r="2666" spans="4:5" x14ac:dyDescent="0.2">
      <c r="D2666" s="148"/>
      <c r="E2666" s="154"/>
    </row>
    <row r="2667" spans="4:5" x14ac:dyDescent="0.2">
      <c r="D2667" s="148"/>
      <c r="E2667" s="154"/>
    </row>
    <row r="2668" spans="4:5" x14ac:dyDescent="0.2">
      <c r="D2668" s="148"/>
      <c r="E2668" s="154"/>
    </row>
    <row r="2669" spans="4:5" x14ac:dyDescent="0.2">
      <c r="D2669" s="148"/>
      <c r="E2669" s="154"/>
    </row>
    <row r="2670" spans="4:5" x14ac:dyDescent="0.2">
      <c r="D2670" s="148"/>
      <c r="E2670" s="154"/>
    </row>
    <row r="2671" spans="4:5" x14ac:dyDescent="0.2">
      <c r="D2671" s="148"/>
      <c r="E2671" s="154"/>
    </row>
    <row r="2672" spans="4:5" x14ac:dyDescent="0.2">
      <c r="D2672" s="148"/>
      <c r="E2672" s="154"/>
    </row>
    <row r="2673" spans="4:5" x14ac:dyDescent="0.2">
      <c r="D2673" s="148"/>
      <c r="E2673" s="154"/>
    </row>
    <row r="2674" spans="4:5" x14ac:dyDescent="0.2">
      <c r="D2674" s="148"/>
      <c r="E2674" s="154"/>
    </row>
    <row r="2675" spans="4:5" x14ac:dyDescent="0.2">
      <c r="D2675" s="148"/>
      <c r="E2675" s="154"/>
    </row>
    <row r="2676" spans="4:5" x14ac:dyDescent="0.2">
      <c r="D2676" s="148"/>
      <c r="E2676" s="154"/>
    </row>
    <row r="2677" spans="4:5" x14ac:dyDescent="0.2">
      <c r="D2677" s="148"/>
      <c r="E2677" s="154"/>
    </row>
    <row r="2678" spans="4:5" x14ac:dyDescent="0.2">
      <c r="D2678" s="148"/>
      <c r="E2678" s="154"/>
    </row>
    <row r="2679" spans="4:5" x14ac:dyDescent="0.2">
      <c r="D2679" s="148"/>
      <c r="E2679" s="154"/>
    </row>
    <row r="2680" spans="4:5" x14ac:dyDescent="0.2">
      <c r="D2680" s="148"/>
      <c r="E2680" s="154"/>
    </row>
    <row r="2681" spans="4:5" x14ac:dyDescent="0.2">
      <c r="D2681" s="148"/>
      <c r="E2681" s="154"/>
    </row>
    <row r="2682" spans="4:5" x14ac:dyDescent="0.2">
      <c r="D2682" s="148"/>
      <c r="E2682" s="154"/>
    </row>
    <row r="2683" spans="4:5" x14ac:dyDescent="0.2">
      <c r="D2683" s="148"/>
      <c r="E2683" s="154"/>
    </row>
    <row r="2684" spans="4:5" x14ac:dyDescent="0.2">
      <c r="D2684" s="148"/>
      <c r="E2684" s="154"/>
    </row>
    <row r="2685" spans="4:5" x14ac:dyDescent="0.2">
      <c r="D2685" s="148"/>
      <c r="E2685" s="154"/>
    </row>
    <row r="2686" spans="4:5" x14ac:dyDescent="0.2">
      <c r="D2686" s="148"/>
      <c r="E2686" s="154"/>
    </row>
    <row r="2687" spans="4:5" x14ac:dyDescent="0.2">
      <c r="D2687" s="148"/>
      <c r="E2687" s="154"/>
    </row>
    <row r="2688" spans="4:5" x14ac:dyDescent="0.2">
      <c r="D2688" s="148"/>
      <c r="E2688" s="154"/>
    </row>
    <row r="2689" spans="4:5" x14ac:dyDescent="0.2">
      <c r="D2689" s="148"/>
      <c r="E2689" s="154"/>
    </row>
    <row r="2690" spans="4:5" x14ac:dyDescent="0.2">
      <c r="D2690" s="148"/>
      <c r="E2690" s="154"/>
    </row>
    <row r="2691" spans="4:5" x14ac:dyDescent="0.2">
      <c r="D2691" s="148"/>
      <c r="E2691" s="154"/>
    </row>
    <row r="2692" spans="4:5" x14ac:dyDescent="0.2">
      <c r="D2692" s="148"/>
      <c r="E2692" s="154"/>
    </row>
    <row r="2693" spans="4:5" x14ac:dyDescent="0.2">
      <c r="D2693" s="148"/>
      <c r="E2693" s="154"/>
    </row>
    <row r="2694" spans="4:5" x14ac:dyDescent="0.2">
      <c r="D2694" s="148"/>
      <c r="E2694" s="154"/>
    </row>
    <row r="2695" spans="4:5" x14ac:dyDescent="0.2">
      <c r="D2695" s="148"/>
      <c r="E2695" s="154"/>
    </row>
    <row r="2696" spans="4:5" x14ac:dyDescent="0.2">
      <c r="D2696" s="148"/>
      <c r="E2696" s="154"/>
    </row>
    <row r="2697" spans="4:5" x14ac:dyDescent="0.2">
      <c r="D2697" s="148"/>
      <c r="E2697" s="154"/>
    </row>
    <row r="2698" spans="4:5" x14ac:dyDescent="0.2">
      <c r="D2698" s="148"/>
      <c r="E2698" s="154"/>
    </row>
    <row r="2699" spans="4:5" x14ac:dyDescent="0.2">
      <c r="D2699" s="148"/>
      <c r="E2699" s="154"/>
    </row>
    <row r="2700" spans="4:5" x14ac:dyDescent="0.2">
      <c r="D2700" s="148"/>
      <c r="E2700" s="154"/>
    </row>
    <row r="2701" spans="4:5" x14ac:dyDescent="0.2">
      <c r="D2701" s="148"/>
      <c r="E2701" s="154"/>
    </row>
    <row r="2702" spans="4:5" x14ac:dyDescent="0.2">
      <c r="D2702" s="148"/>
      <c r="E2702" s="154"/>
    </row>
    <row r="2703" spans="4:5" x14ac:dyDescent="0.2">
      <c r="D2703" s="148"/>
      <c r="E2703" s="154"/>
    </row>
    <row r="2704" spans="4:5" x14ac:dyDescent="0.2">
      <c r="D2704" s="148"/>
      <c r="E2704" s="154"/>
    </row>
    <row r="2705" spans="4:5" x14ac:dyDescent="0.2">
      <c r="D2705" s="148"/>
      <c r="E2705" s="154"/>
    </row>
    <row r="2706" spans="4:5" x14ac:dyDescent="0.2">
      <c r="D2706" s="148"/>
      <c r="E2706" s="154"/>
    </row>
    <row r="2707" spans="4:5" x14ac:dyDescent="0.2">
      <c r="D2707" s="148"/>
      <c r="E2707" s="154"/>
    </row>
    <row r="2708" spans="4:5" x14ac:dyDescent="0.2">
      <c r="D2708" s="148"/>
      <c r="E2708" s="154"/>
    </row>
    <row r="2709" spans="4:5" x14ac:dyDescent="0.2">
      <c r="D2709" s="148"/>
      <c r="E2709" s="154"/>
    </row>
    <row r="2710" spans="4:5" x14ac:dyDescent="0.2">
      <c r="D2710" s="148"/>
      <c r="E2710" s="154"/>
    </row>
    <row r="2711" spans="4:5" x14ac:dyDescent="0.2">
      <c r="D2711" s="148"/>
      <c r="E2711" s="154"/>
    </row>
    <row r="2712" spans="4:5" x14ac:dyDescent="0.2">
      <c r="D2712" s="148"/>
      <c r="E2712" s="154"/>
    </row>
    <row r="2713" spans="4:5" x14ac:dyDescent="0.2">
      <c r="D2713" s="148"/>
      <c r="E2713" s="154"/>
    </row>
    <row r="2714" spans="4:5" x14ac:dyDescent="0.2">
      <c r="D2714" s="148"/>
      <c r="E2714" s="154"/>
    </row>
    <row r="2715" spans="4:5" x14ac:dyDescent="0.2">
      <c r="D2715" s="148"/>
      <c r="E2715" s="154"/>
    </row>
    <row r="2716" spans="4:5" x14ac:dyDescent="0.2">
      <c r="D2716" s="148"/>
      <c r="E2716" s="154"/>
    </row>
    <row r="2717" spans="4:5" x14ac:dyDescent="0.2">
      <c r="D2717" s="148"/>
      <c r="E2717" s="154"/>
    </row>
    <row r="2718" spans="4:5" x14ac:dyDescent="0.2">
      <c r="D2718" s="148"/>
      <c r="E2718" s="154"/>
    </row>
    <row r="2719" spans="4:5" x14ac:dyDescent="0.2">
      <c r="D2719" s="148"/>
      <c r="E2719" s="154"/>
    </row>
    <row r="2720" spans="4:5" x14ac:dyDescent="0.2">
      <c r="D2720" s="148"/>
      <c r="E2720" s="154"/>
    </row>
    <row r="2721" spans="4:5" x14ac:dyDescent="0.2">
      <c r="D2721" s="148"/>
      <c r="E2721" s="154"/>
    </row>
    <row r="2722" spans="4:5" x14ac:dyDescent="0.2">
      <c r="D2722" s="148"/>
      <c r="E2722" s="154"/>
    </row>
    <row r="2723" spans="4:5" x14ac:dyDescent="0.2">
      <c r="D2723" s="148"/>
      <c r="E2723" s="154"/>
    </row>
    <row r="2724" spans="4:5" x14ac:dyDescent="0.2">
      <c r="D2724" s="148"/>
      <c r="E2724" s="154"/>
    </row>
    <row r="2725" spans="4:5" x14ac:dyDescent="0.2">
      <c r="D2725" s="148"/>
      <c r="E2725" s="154"/>
    </row>
    <row r="2726" spans="4:5" x14ac:dyDescent="0.2">
      <c r="D2726" s="148"/>
      <c r="E2726" s="154"/>
    </row>
    <row r="2727" spans="4:5" x14ac:dyDescent="0.2">
      <c r="D2727" s="148"/>
      <c r="E2727" s="154"/>
    </row>
    <row r="2728" spans="4:5" x14ac:dyDescent="0.2">
      <c r="D2728" s="148"/>
      <c r="E2728" s="154"/>
    </row>
    <row r="2729" spans="4:5" x14ac:dyDescent="0.2">
      <c r="D2729" s="148"/>
      <c r="E2729" s="154"/>
    </row>
    <row r="2730" spans="4:5" x14ac:dyDescent="0.2">
      <c r="D2730" s="148"/>
      <c r="E2730" s="154"/>
    </row>
    <row r="2731" spans="4:5" x14ac:dyDescent="0.2">
      <c r="D2731" s="148"/>
      <c r="E2731" s="154"/>
    </row>
    <row r="2732" spans="4:5" x14ac:dyDescent="0.2">
      <c r="D2732" s="148"/>
      <c r="E2732" s="154"/>
    </row>
    <row r="2733" spans="4:5" x14ac:dyDescent="0.2">
      <c r="D2733" s="148"/>
      <c r="E2733" s="154"/>
    </row>
    <row r="2734" spans="4:5" x14ac:dyDescent="0.2">
      <c r="D2734" s="148"/>
      <c r="E2734" s="154"/>
    </row>
    <row r="2735" spans="4:5" x14ac:dyDescent="0.2">
      <c r="D2735" s="148"/>
      <c r="E2735" s="154"/>
    </row>
    <row r="2736" spans="4:5" x14ac:dyDescent="0.2">
      <c r="D2736" s="148"/>
      <c r="E2736" s="154"/>
    </row>
    <row r="2737" spans="4:5" x14ac:dyDescent="0.2">
      <c r="D2737" s="148"/>
      <c r="E2737" s="154"/>
    </row>
    <row r="2738" spans="4:5" x14ac:dyDescent="0.2">
      <c r="D2738" s="148"/>
      <c r="E2738" s="154"/>
    </row>
    <row r="2739" spans="4:5" x14ac:dyDescent="0.2">
      <c r="D2739" s="148"/>
      <c r="E2739" s="154"/>
    </row>
    <row r="2740" spans="4:5" x14ac:dyDescent="0.2">
      <c r="D2740" s="148"/>
      <c r="E2740" s="154"/>
    </row>
    <row r="2741" spans="4:5" x14ac:dyDescent="0.2">
      <c r="D2741" s="148"/>
      <c r="E2741" s="154"/>
    </row>
    <row r="2742" spans="4:5" x14ac:dyDescent="0.2">
      <c r="D2742" s="148"/>
      <c r="E2742" s="154"/>
    </row>
    <row r="2743" spans="4:5" x14ac:dyDescent="0.2">
      <c r="D2743" s="148"/>
      <c r="E2743" s="154"/>
    </row>
    <row r="2744" spans="4:5" x14ac:dyDescent="0.2">
      <c r="D2744" s="148"/>
      <c r="E2744" s="154"/>
    </row>
    <row r="2745" spans="4:5" x14ac:dyDescent="0.2">
      <c r="D2745" s="148"/>
      <c r="E2745" s="154"/>
    </row>
    <row r="2746" spans="4:5" x14ac:dyDescent="0.2">
      <c r="D2746" s="148"/>
      <c r="E2746" s="154"/>
    </row>
    <row r="2747" spans="4:5" x14ac:dyDescent="0.2">
      <c r="D2747" s="148"/>
      <c r="E2747" s="154"/>
    </row>
    <row r="2748" spans="4:5" x14ac:dyDescent="0.2">
      <c r="D2748" s="148"/>
      <c r="E2748" s="154"/>
    </row>
    <row r="2749" spans="4:5" x14ac:dyDescent="0.2">
      <c r="D2749" s="148"/>
      <c r="E2749" s="154"/>
    </row>
    <row r="2750" spans="4:5" x14ac:dyDescent="0.2">
      <c r="D2750" s="148"/>
      <c r="E2750" s="154"/>
    </row>
    <row r="2751" spans="4:5" x14ac:dyDescent="0.2">
      <c r="D2751" s="148"/>
      <c r="E2751" s="154"/>
    </row>
    <row r="2752" spans="4:5" x14ac:dyDescent="0.2">
      <c r="D2752" s="148"/>
      <c r="E2752" s="154"/>
    </row>
    <row r="2753" spans="4:5" x14ac:dyDescent="0.2">
      <c r="D2753" s="148"/>
      <c r="E2753" s="154"/>
    </row>
    <row r="2754" spans="4:5" x14ac:dyDescent="0.2">
      <c r="D2754" s="148"/>
      <c r="E2754" s="154"/>
    </row>
    <row r="2755" spans="4:5" x14ac:dyDescent="0.2">
      <c r="D2755" s="148"/>
      <c r="E2755" s="154"/>
    </row>
    <row r="2756" spans="4:5" x14ac:dyDescent="0.2">
      <c r="D2756" s="148"/>
      <c r="E2756" s="154"/>
    </row>
    <row r="2757" spans="4:5" x14ac:dyDescent="0.2">
      <c r="D2757" s="148"/>
      <c r="E2757" s="154"/>
    </row>
    <row r="2758" spans="4:5" x14ac:dyDescent="0.2">
      <c r="D2758" s="148"/>
      <c r="E2758" s="154"/>
    </row>
    <row r="2759" spans="4:5" x14ac:dyDescent="0.2">
      <c r="D2759" s="148"/>
      <c r="E2759" s="154"/>
    </row>
    <row r="2760" spans="4:5" x14ac:dyDescent="0.2">
      <c r="D2760" s="148"/>
      <c r="E2760" s="154"/>
    </row>
    <row r="2761" spans="4:5" x14ac:dyDescent="0.2">
      <c r="D2761" s="148"/>
      <c r="E2761" s="154"/>
    </row>
    <row r="2762" spans="4:5" x14ac:dyDescent="0.2">
      <c r="D2762" s="148"/>
      <c r="E2762" s="154"/>
    </row>
    <row r="2763" spans="4:5" x14ac:dyDescent="0.2">
      <c r="D2763" s="148"/>
      <c r="E2763" s="154"/>
    </row>
    <row r="2764" spans="4:5" x14ac:dyDescent="0.2">
      <c r="D2764" s="148"/>
      <c r="E2764" s="154"/>
    </row>
    <row r="2765" spans="4:5" x14ac:dyDescent="0.2">
      <c r="D2765" s="148"/>
      <c r="E2765" s="154"/>
    </row>
    <row r="2766" spans="4:5" x14ac:dyDescent="0.2">
      <c r="D2766" s="148"/>
      <c r="E2766" s="154"/>
    </row>
    <row r="2767" spans="4:5" x14ac:dyDescent="0.2">
      <c r="D2767" s="148"/>
      <c r="E2767" s="154"/>
    </row>
    <row r="2768" spans="4:5" x14ac:dyDescent="0.2">
      <c r="D2768" s="148"/>
      <c r="E2768" s="154"/>
    </row>
    <row r="2769" spans="4:5" x14ac:dyDescent="0.2">
      <c r="D2769" s="148"/>
      <c r="E2769" s="154"/>
    </row>
    <row r="2770" spans="4:5" x14ac:dyDescent="0.2">
      <c r="D2770" s="148"/>
      <c r="E2770" s="154"/>
    </row>
    <row r="2771" spans="4:5" x14ac:dyDescent="0.2">
      <c r="D2771" s="148"/>
      <c r="E2771" s="154"/>
    </row>
    <row r="2772" spans="4:5" x14ac:dyDescent="0.2">
      <c r="D2772" s="148"/>
      <c r="E2772" s="154"/>
    </row>
    <row r="2773" spans="4:5" x14ac:dyDescent="0.2">
      <c r="D2773" s="148"/>
      <c r="E2773" s="154"/>
    </row>
    <row r="2774" spans="4:5" x14ac:dyDescent="0.2">
      <c r="D2774" s="148"/>
      <c r="E2774" s="154"/>
    </row>
    <row r="2775" spans="4:5" x14ac:dyDescent="0.2">
      <c r="D2775" s="148"/>
      <c r="E2775" s="154"/>
    </row>
    <row r="2776" spans="4:5" x14ac:dyDescent="0.2">
      <c r="D2776" s="148"/>
      <c r="E2776" s="154"/>
    </row>
    <row r="2777" spans="4:5" x14ac:dyDescent="0.2">
      <c r="D2777" s="148"/>
      <c r="E2777" s="154"/>
    </row>
    <row r="2778" spans="4:5" x14ac:dyDescent="0.2">
      <c r="D2778" s="148"/>
      <c r="E2778" s="154"/>
    </row>
    <row r="2779" spans="4:5" x14ac:dyDescent="0.2">
      <c r="D2779" s="148"/>
      <c r="E2779" s="154"/>
    </row>
    <row r="2780" spans="4:5" x14ac:dyDescent="0.2">
      <c r="D2780" s="148"/>
      <c r="E2780" s="154"/>
    </row>
    <row r="2781" spans="4:5" x14ac:dyDescent="0.2">
      <c r="D2781" s="148"/>
      <c r="E2781" s="154"/>
    </row>
    <row r="2782" spans="4:5" x14ac:dyDescent="0.2">
      <c r="D2782" s="148"/>
      <c r="E2782" s="154"/>
    </row>
    <row r="2783" spans="4:5" x14ac:dyDescent="0.2">
      <c r="D2783" s="148"/>
      <c r="E2783" s="154"/>
    </row>
    <row r="2784" spans="4:5" x14ac:dyDescent="0.2">
      <c r="D2784" s="148"/>
      <c r="E2784" s="154"/>
    </row>
    <row r="2785" spans="4:5" x14ac:dyDescent="0.2">
      <c r="D2785" s="148"/>
      <c r="E2785" s="154"/>
    </row>
    <row r="2786" spans="4:5" x14ac:dyDescent="0.2">
      <c r="D2786" s="148"/>
      <c r="E2786" s="154"/>
    </row>
    <row r="2787" spans="4:5" x14ac:dyDescent="0.2">
      <c r="D2787" s="148"/>
      <c r="E2787" s="154"/>
    </row>
    <row r="2788" spans="4:5" x14ac:dyDescent="0.2">
      <c r="D2788" s="148"/>
      <c r="E2788" s="154"/>
    </row>
    <row r="2789" spans="4:5" x14ac:dyDescent="0.2">
      <c r="D2789" s="148"/>
      <c r="E2789" s="154"/>
    </row>
    <row r="2790" spans="4:5" x14ac:dyDescent="0.2">
      <c r="D2790" s="148"/>
      <c r="E2790" s="154"/>
    </row>
    <row r="2791" spans="4:5" x14ac:dyDescent="0.2">
      <c r="D2791" s="148"/>
      <c r="E2791" s="154"/>
    </row>
    <row r="2792" spans="4:5" x14ac:dyDescent="0.2">
      <c r="D2792" s="148"/>
      <c r="E2792" s="154"/>
    </row>
    <row r="2793" spans="4:5" x14ac:dyDescent="0.2">
      <c r="D2793" s="148"/>
      <c r="E2793" s="154"/>
    </row>
    <row r="2794" spans="4:5" x14ac:dyDescent="0.2">
      <c r="D2794" s="148"/>
      <c r="E2794" s="154"/>
    </row>
    <row r="2795" spans="4:5" x14ac:dyDescent="0.2">
      <c r="D2795" s="148"/>
      <c r="E2795" s="154"/>
    </row>
    <row r="2796" spans="4:5" x14ac:dyDescent="0.2">
      <c r="D2796" s="148"/>
      <c r="E2796" s="154"/>
    </row>
    <row r="2797" spans="4:5" x14ac:dyDescent="0.2">
      <c r="D2797" s="148"/>
      <c r="E2797" s="154"/>
    </row>
    <row r="2798" spans="4:5" x14ac:dyDescent="0.2">
      <c r="D2798" s="148"/>
      <c r="E2798" s="154"/>
    </row>
    <row r="2799" spans="4:5" x14ac:dyDescent="0.2">
      <c r="D2799" s="148"/>
      <c r="E2799" s="154"/>
    </row>
    <row r="2800" spans="4:5" x14ac:dyDescent="0.2">
      <c r="D2800" s="148"/>
      <c r="E2800" s="154"/>
    </row>
    <row r="2801" spans="4:5" x14ac:dyDescent="0.2">
      <c r="D2801" s="148"/>
      <c r="E2801" s="154"/>
    </row>
    <row r="2802" spans="4:5" x14ac:dyDescent="0.2">
      <c r="D2802" s="148"/>
      <c r="E2802" s="154"/>
    </row>
    <row r="2803" spans="4:5" x14ac:dyDescent="0.2">
      <c r="D2803" s="148"/>
      <c r="E2803" s="154"/>
    </row>
    <row r="2804" spans="4:5" x14ac:dyDescent="0.2">
      <c r="D2804" s="148"/>
      <c r="E2804" s="154"/>
    </row>
    <row r="2805" spans="4:5" x14ac:dyDescent="0.2">
      <c r="D2805" s="148"/>
      <c r="E2805" s="154"/>
    </row>
    <row r="2806" spans="4:5" x14ac:dyDescent="0.2">
      <c r="D2806" s="148"/>
      <c r="E2806" s="154"/>
    </row>
    <row r="2807" spans="4:5" x14ac:dyDescent="0.2">
      <c r="D2807" s="148"/>
      <c r="E2807" s="154"/>
    </row>
    <row r="2808" spans="4:5" x14ac:dyDescent="0.2">
      <c r="D2808" s="148"/>
      <c r="E2808" s="154"/>
    </row>
    <row r="2809" spans="4:5" x14ac:dyDescent="0.2">
      <c r="D2809" s="148"/>
      <c r="E2809" s="154"/>
    </row>
    <row r="2810" spans="4:5" x14ac:dyDescent="0.2">
      <c r="D2810" s="148"/>
      <c r="E2810" s="154"/>
    </row>
    <row r="2811" spans="4:5" x14ac:dyDescent="0.2">
      <c r="D2811" s="148"/>
      <c r="E2811" s="154"/>
    </row>
    <row r="2812" spans="4:5" x14ac:dyDescent="0.2">
      <c r="D2812" s="148"/>
      <c r="E2812" s="154"/>
    </row>
    <row r="2813" spans="4:5" x14ac:dyDescent="0.2">
      <c r="D2813" s="148"/>
      <c r="E2813" s="154"/>
    </row>
    <row r="2814" spans="4:5" x14ac:dyDescent="0.2">
      <c r="D2814" s="148"/>
      <c r="E2814" s="154"/>
    </row>
    <row r="2815" spans="4:5" x14ac:dyDescent="0.2">
      <c r="D2815" s="148"/>
      <c r="E2815" s="154"/>
    </row>
    <row r="2816" spans="4:5" x14ac:dyDescent="0.2">
      <c r="D2816" s="148"/>
      <c r="E2816" s="154"/>
    </row>
    <row r="2817" spans="4:5" x14ac:dyDescent="0.2">
      <c r="D2817" s="148"/>
      <c r="E2817" s="154"/>
    </row>
    <row r="2818" spans="4:5" x14ac:dyDescent="0.2">
      <c r="D2818" s="148"/>
      <c r="E2818" s="154"/>
    </row>
    <row r="2819" spans="4:5" x14ac:dyDescent="0.2">
      <c r="D2819" s="148"/>
      <c r="E2819" s="154"/>
    </row>
    <row r="2820" spans="4:5" x14ac:dyDescent="0.2">
      <c r="D2820" s="148"/>
      <c r="E2820" s="154"/>
    </row>
    <row r="2821" spans="4:5" x14ac:dyDescent="0.2">
      <c r="D2821" s="148"/>
      <c r="E2821" s="154"/>
    </row>
    <row r="2822" spans="4:5" x14ac:dyDescent="0.2">
      <c r="D2822" s="148"/>
      <c r="E2822" s="154"/>
    </row>
    <row r="2823" spans="4:5" x14ac:dyDescent="0.2">
      <c r="D2823" s="148"/>
      <c r="E2823" s="154"/>
    </row>
    <row r="2824" spans="4:5" x14ac:dyDescent="0.2">
      <c r="D2824" s="148"/>
      <c r="E2824" s="154"/>
    </row>
    <row r="2825" spans="4:5" x14ac:dyDescent="0.2">
      <c r="D2825" s="148"/>
      <c r="E2825" s="154"/>
    </row>
    <row r="2826" spans="4:5" x14ac:dyDescent="0.2">
      <c r="D2826" s="148"/>
      <c r="E2826" s="154"/>
    </row>
    <row r="2827" spans="4:5" x14ac:dyDescent="0.2">
      <c r="D2827" s="148"/>
      <c r="E2827" s="154"/>
    </row>
    <row r="2828" spans="4:5" x14ac:dyDescent="0.2">
      <c r="D2828" s="148"/>
      <c r="E2828" s="154"/>
    </row>
    <row r="2829" spans="4:5" x14ac:dyDescent="0.2">
      <c r="D2829" s="148"/>
      <c r="E2829" s="154"/>
    </row>
    <row r="2830" spans="4:5" x14ac:dyDescent="0.2">
      <c r="D2830" s="148"/>
      <c r="E2830" s="154"/>
    </row>
    <row r="2831" spans="4:5" x14ac:dyDescent="0.2">
      <c r="D2831" s="148"/>
      <c r="E2831" s="154"/>
    </row>
    <row r="2832" spans="4:5" x14ac:dyDescent="0.2">
      <c r="D2832" s="148"/>
      <c r="E2832" s="154"/>
    </row>
    <row r="2833" spans="4:5" x14ac:dyDescent="0.2">
      <c r="D2833" s="148"/>
      <c r="E2833" s="154"/>
    </row>
    <row r="2834" spans="4:5" x14ac:dyDescent="0.2">
      <c r="D2834" s="148"/>
      <c r="E2834" s="154"/>
    </row>
    <row r="2835" spans="4:5" x14ac:dyDescent="0.2">
      <c r="D2835" s="148"/>
      <c r="E2835" s="154"/>
    </row>
    <row r="2836" spans="4:5" x14ac:dyDescent="0.2">
      <c r="D2836" s="148"/>
      <c r="E2836" s="154"/>
    </row>
    <row r="2837" spans="4:5" x14ac:dyDescent="0.2">
      <c r="D2837" s="148"/>
      <c r="E2837" s="154"/>
    </row>
    <row r="2838" spans="4:5" x14ac:dyDescent="0.2">
      <c r="D2838" s="148"/>
      <c r="E2838" s="154"/>
    </row>
    <row r="2839" spans="4:5" x14ac:dyDescent="0.2">
      <c r="D2839" s="148"/>
      <c r="E2839" s="154"/>
    </row>
    <row r="2840" spans="4:5" x14ac:dyDescent="0.2">
      <c r="D2840" s="148"/>
      <c r="E2840" s="154"/>
    </row>
    <row r="2841" spans="4:5" x14ac:dyDescent="0.2">
      <c r="D2841" s="148"/>
      <c r="E2841" s="154"/>
    </row>
    <row r="2842" spans="4:5" x14ac:dyDescent="0.2">
      <c r="D2842" s="148"/>
      <c r="E2842" s="154"/>
    </row>
    <row r="2843" spans="4:5" x14ac:dyDescent="0.2">
      <c r="D2843" s="148"/>
      <c r="E2843" s="154"/>
    </row>
    <row r="2844" spans="4:5" x14ac:dyDescent="0.2">
      <c r="D2844" s="148"/>
      <c r="E2844" s="154"/>
    </row>
    <row r="2845" spans="4:5" x14ac:dyDescent="0.2">
      <c r="D2845" s="148"/>
      <c r="E2845" s="154"/>
    </row>
    <row r="2846" spans="4:5" x14ac:dyDescent="0.2">
      <c r="D2846" s="148"/>
      <c r="E2846" s="154"/>
    </row>
    <row r="2847" spans="4:5" x14ac:dyDescent="0.2">
      <c r="D2847" s="148"/>
      <c r="E2847" s="154"/>
    </row>
    <row r="2848" spans="4:5" x14ac:dyDescent="0.2">
      <c r="D2848" s="148"/>
      <c r="E2848" s="154"/>
    </row>
    <row r="2849" spans="4:5" x14ac:dyDescent="0.2">
      <c r="D2849" s="148"/>
      <c r="E2849" s="154"/>
    </row>
    <row r="2850" spans="4:5" x14ac:dyDescent="0.2">
      <c r="D2850" s="148"/>
      <c r="E2850" s="154"/>
    </row>
    <row r="2851" spans="4:5" x14ac:dyDescent="0.2">
      <c r="D2851" s="148"/>
      <c r="E2851" s="154"/>
    </row>
    <row r="2852" spans="4:5" x14ac:dyDescent="0.2">
      <c r="D2852" s="148"/>
      <c r="E2852" s="154"/>
    </row>
    <row r="2853" spans="4:5" x14ac:dyDescent="0.2">
      <c r="D2853" s="148"/>
      <c r="E2853" s="154"/>
    </row>
    <row r="2854" spans="4:5" x14ac:dyDescent="0.2">
      <c r="D2854" s="148"/>
      <c r="E2854" s="154"/>
    </row>
    <row r="2855" spans="4:5" x14ac:dyDescent="0.2">
      <c r="D2855" s="148"/>
      <c r="E2855" s="154"/>
    </row>
    <row r="2856" spans="4:5" x14ac:dyDescent="0.2">
      <c r="D2856" s="148"/>
      <c r="E2856" s="154"/>
    </row>
    <row r="2857" spans="4:5" x14ac:dyDescent="0.2">
      <c r="D2857" s="148"/>
      <c r="E2857" s="154"/>
    </row>
    <row r="2858" spans="4:5" x14ac:dyDescent="0.2">
      <c r="D2858" s="148"/>
      <c r="E2858" s="154"/>
    </row>
    <row r="2859" spans="4:5" x14ac:dyDescent="0.2">
      <c r="D2859" s="148"/>
      <c r="E2859" s="154"/>
    </row>
    <row r="2860" spans="4:5" x14ac:dyDescent="0.2">
      <c r="D2860" s="148"/>
      <c r="E2860" s="154"/>
    </row>
    <row r="2861" spans="4:5" x14ac:dyDescent="0.2">
      <c r="D2861" s="148"/>
      <c r="E2861" s="154"/>
    </row>
    <row r="2862" spans="4:5" x14ac:dyDescent="0.2">
      <c r="D2862" s="148"/>
      <c r="E2862" s="154"/>
    </row>
    <row r="2863" spans="4:5" x14ac:dyDescent="0.2">
      <c r="D2863" s="148"/>
      <c r="E2863" s="154"/>
    </row>
    <row r="2864" spans="4:5" x14ac:dyDescent="0.2">
      <c r="D2864" s="148"/>
      <c r="E2864" s="154"/>
    </row>
    <row r="2865" spans="4:5" x14ac:dyDescent="0.2">
      <c r="D2865" s="148"/>
      <c r="E2865" s="154"/>
    </row>
    <row r="2866" spans="4:5" x14ac:dyDescent="0.2">
      <c r="D2866" s="148"/>
      <c r="E2866" s="154"/>
    </row>
    <row r="2867" spans="4:5" x14ac:dyDescent="0.2">
      <c r="D2867" s="148"/>
      <c r="E2867" s="154"/>
    </row>
    <row r="2868" spans="4:5" x14ac:dyDescent="0.2">
      <c r="D2868" s="148"/>
      <c r="E2868" s="154"/>
    </row>
    <row r="2869" spans="4:5" x14ac:dyDescent="0.2">
      <c r="D2869" s="148"/>
      <c r="E2869" s="154"/>
    </row>
    <row r="2870" spans="4:5" x14ac:dyDescent="0.2">
      <c r="D2870" s="148"/>
      <c r="E2870" s="154"/>
    </row>
    <row r="2871" spans="4:5" x14ac:dyDescent="0.2">
      <c r="D2871" s="148"/>
      <c r="E2871" s="154"/>
    </row>
    <row r="2872" spans="4:5" x14ac:dyDescent="0.2">
      <c r="D2872" s="148"/>
      <c r="E2872" s="154"/>
    </row>
    <row r="2873" spans="4:5" x14ac:dyDescent="0.2">
      <c r="D2873" s="148"/>
      <c r="E2873" s="154"/>
    </row>
    <row r="2874" spans="4:5" x14ac:dyDescent="0.2">
      <c r="D2874" s="148"/>
      <c r="E2874" s="154"/>
    </row>
    <row r="2875" spans="4:5" x14ac:dyDescent="0.2">
      <c r="D2875" s="148"/>
      <c r="E2875" s="154"/>
    </row>
    <row r="2876" spans="4:5" x14ac:dyDescent="0.2">
      <c r="D2876" s="148"/>
      <c r="E2876" s="154"/>
    </row>
    <row r="2877" spans="4:5" x14ac:dyDescent="0.2">
      <c r="D2877" s="148"/>
      <c r="E2877" s="154"/>
    </row>
    <row r="2878" spans="4:5" x14ac:dyDescent="0.2">
      <c r="D2878" s="148"/>
      <c r="E2878" s="154"/>
    </row>
    <row r="2879" spans="4:5" x14ac:dyDescent="0.2">
      <c r="D2879" s="148"/>
      <c r="E2879" s="154"/>
    </row>
    <row r="2880" spans="4:5" x14ac:dyDescent="0.2">
      <c r="D2880" s="148"/>
      <c r="E2880" s="154"/>
    </row>
    <row r="2881" spans="4:5" x14ac:dyDescent="0.2">
      <c r="D2881" s="148"/>
      <c r="E2881" s="154"/>
    </row>
    <row r="2882" spans="4:5" x14ac:dyDescent="0.2">
      <c r="D2882" s="148"/>
      <c r="E2882" s="154"/>
    </row>
    <row r="2883" spans="4:5" x14ac:dyDescent="0.2">
      <c r="D2883" s="148"/>
      <c r="E2883" s="154"/>
    </row>
    <row r="2884" spans="4:5" x14ac:dyDescent="0.2">
      <c r="D2884" s="148"/>
      <c r="E2884" s="154"/>
    </row>
    <row r="2885" spans="4:5" x14ac:dyDescent="0.2">
      <c r="D2885" s="148"/>
      <c r="E2885" s="154"/>
    </row>
    <row r="2886" spans="4:5" x14ac:dyDescent="0.2">
      <c r="D2886" s="148"/>
      <c r="E2886" s="154"/>
    </row>
    <row r="2887" spans="4:5" x14ac:dyDescent="0.2">
      <c r="D2887" s="148"/>
      <c r="E2887" s="154"/>
    </row>
    <row r="2888" spans="4:5" x14ac:dyDescent="0.2">
      <c r="D2888" s="148"/>
      <c r="E2888" s="154"/>
    </row>
    <row r="2889" spans="4:5" x14ac:dyDescent="0.2">
      <c r="D2889" s="148"/>
      <c r="E2889" s="154"/>
    </row>
    <row r="2890" spans="4:5" x14ac:dyDescent="0.2">
      <c r="D2890" s="148"/>
      <c r="E2890" s="154"/>
    </row>
    <row r="2891" spans="4:5" x14ac:dyDescent="0.2">
      <c r="D2891" s="148"/>
      <c r="E2891" s="154"/>
    </row>
    <row r="2892" spans="4:5" x14ac:dyDescent="0.2">
      <c r="D2892" s="148"/>
      <c r="E2892" s="154"/>
    </row>
    <row r="2893" spans="4:5" x14ac:dyDescent="0.2">
      <c r="D2893" s="148"/>
      <c r="E2893" s="154"/>
    </row>
    <row r="2894" spans="4:5" x14ac:dyDescent="0.2">
      <c r="D2894" s="148"/>
      <c r="E2894" s="154"/>
    </row>
    <row r="2895" spans="4:5" x14ac:dyDescent="0.2">
      <c r="D2895" s="148"/>
      <c r="E2895" s="154"/>
    </row>
    <row r="2896" spans="4:5" x14ac:dyDescent="0.2">
      <c r="D2896" s="148"/>
      <c r="E2896" s="154"/>
    </row>
    <row r="2897" spans="4:5" x14ac:dyDescent="0.2">
      <c r="D2897" s="148"/>
      <c r="E2897" s="154"/>
    </row>
    <row r="2898" spans="4:5" x14ac:dyDescent="0.2">
      <c r="D2898" s="148"/>
      <c r="E2898" s="154"/>
    </row>
    <row r="2899" spans="4:5" x14ac:dyDescent="0.2">
      <c r="D2899" s="148"/>
      <c r="E2899" s="154"/>
    </row>
    <row r="2900" spans="4:5" x14ac:dyDescent="0.2">
      <c r="D2900" s="148"/>
      <c r="E2900" s="154"/>
    </row>
    <row r="2901" spans="4:5" x14ac:dyDescent="0.2">
      <c r="D2901" s="148"/>
      <c r="E2901" s="154"/>
    </row>
    <row r="2902" spans="4:5" x14ac:dyDescent="0.2">
      <c r="D2902" s="148"/>
      <c r="E2902" s="154"/>
    </row>
    <row r="2903" spans="4:5" x14ac:dyDescent="0.2">
      <c r="D2903" s="148"/>
      <c r="E2903" s="154"/>
    </row>
    <row r="2904" spans="4:5" x14ac:dyDescent="0.2">
      <c r="D2904" s="148"/>
      <c r="E2904" s="154"/>
    </row>
    <row r="2905" spans="4:5" x14ac:dyDescent="0.2">
      <c r="D2905" s="148"/>
      <c r="E2905" s="154"/>
    </row>
    <row r="2906" spans="4:5" x14ac:dyDescent="0.2">
      <c r="D2906" s="148"/>
      <c r="E2906" s="154"/>
    </row>
    <row r="2907" spans="4:5" x14ac:dyDescent="0.2">
      <c r="D2907" s="148"/>
      <c r="E2907" s="154"/>
    </row>
    <row r="2908" spans="4:5" x14ac:dyDescent="0.2">
      <c r="D2908" s="148"/>
      <c r="E2908" s="154"/>
    </row>
    <row r="2909" spans="4:5" x14ac:dyDescent="0.2">
      <c r="D2909" s="148"/>
      <c r="E2909" s="154"/>
    </row>
    <row r="2910" spans="4:5" x14ac:dyDescent="0.2">
      <c r="D2910" s="148"/>
      <c r="E2910" s="154"/>
    </row>
    <row r="2911" spans="4:5" x14ac:dyDescent="0.2">
      <c r="D2911" s="148"/>
      <c r="E2911" s="154"/>
    </row>
    <row r="2912" spans="4:5" x14ac:dyDescent="0.2">
      <c r="D2912" s="148"/>
      <c r="E2912" s="154"/>
    </row>
    <row r="2913" spans="4:5" x14ac:dyDescent="0.2">
      <c r="D2913" s="148"/>
      <c r="E2913" s="154"/>
    </row>
    <row r="2914" spans="4:5" x14ac:dyDescent="0.2">
      <c r="D2914" s="148"/>
      <c r="E2914" s="154"/>
    </row>
    <row r="2915" spans="4:5" x14ac:dyDescent="0.2">
      <c r="D2915" s="148"/>
      <c r="E2915" s="154"/>
    </row>
    <row r="2916" spans="4:5" x14ac:dyDescent="0.2">
      <c r="D2916" s="148"/>
      <c r="E2916" s="154"/>
    </row>
    <row r="2917" spans="4:5" x14ac:dyDescent="0.2">
      <c r="D2917" s="148"/>
      <c r="E2917" s="154"/>
    </row>
    <row r="2918" spans="4:5" x14ac:dyDescent="0.2">
      <c r="D2918" s="148"/>
      <c r="E2918" s="154"/>
    </row>
    <row r="2919" spans="4:5" x14ac:dyDescent="0.2">
      <c r="D2919" s="148"/>
      <c r="E2919" s="154"/>
    </row>
    <row r="2920" spans="4:5" x14ac:dyDescent="0.2">
      <c r="D2920" s="148"/>
      <c r="E2920" s="154"/>
    </row>
    <row r="2921" spans="4:5" x14ac:dyDescent="0.2">
      <c r="D2921" s="148"/>
      <c r="E2921" s="154"/>
    </row>
    <row r="2922" spans="4:5" x14ac:dyDescent="0.2">
      <c r="D2922" s="148"/>
      <c r="E2922" s="154"/>
    </row>
    <row r="2923" spans="4:5" x14ac:dyDescent="0.2">
      <c r="D2923" s="148"/>
      <c r="E2923" s="154"/>
    </row>
    <row r="2924" spans="4:5" x14ac:dyDescent="0.2">
      <c r="D2924" s="148"/>
      <c r="E2924" s="154"/>
    </row>
    <row r="2925" spans="4:5" x14ac:dyDescent="0.2">
      <c r="D2925" s="148"/>
      <c r="E2925" s="154"/>
    </row>
    <row r="2926" spans="4:5" x14ac:dyDescent="0.2">
      <c r="D2926" s="148"/>
      <c r="E2926" s="154"/>
    </row>
    <row r="2927" spans="4:5" x14ac:dyDescent="0.2">
      <c r="D2927" s="148"/>
      <c r="E2927" s="154"/>
    </row>
    <row r="2928" spans="4:5" x14ac:dyDescent="0.2">
      <c r="D2928" s="148"/>
      <c r="E2928" s="154"/>
    </row>
    <row r="2929" spans="4:5" x14ac:dyDescent="0.2">
      <c r="D2929" s="148"/>
      <c r="E2929" s="154"/>
    </row>
    <row r="2930" spans="4:5" x14ac:dyDescent="0.2">
      <c r="D2930" s="148"/>
      <c r="E2930" s="154"/>
    </row>
    <row r="2931" spans="4:5" x14ac:dyDescent="0.2">
      <c r="D2931" s="148"/>
      <c r="E2931" s="154"/>
    </row>
    <row r="2932" spans="4:5" x14ac:dyDescent="0.2">
      <c r="D2932" s="148"/>
      <c r="E2932" s="154"/>
    </row>
    <row r="2933" spans="4:5" x14ac:dyDescent="0.2">
      <c r="D2933" s="148"/>
      <c r="E2933" s="154"/>
    </row>
    <row r="2934" spans="4:5" x14ac:dyDescent="0.2">
      <c r="D2934" s="148"/>
      <c r="E2934" s="154"/>
    </row>
    <row r="2935" spans="4:5" x14ac:dyDescent="0.2">
      <c r="D2935" s="148"/>
      <c r="E2935" s="154"/>
    </row>
    <row r="2936" spans="4:5" x14ac:dyDescent="0.2">
      <c r="D2936" s="148"/>
      <c r="E2936" s="154"/>
    </row>
    <row r="2937" spans="4:5" x14ac:dyDescent="0.2">
      <c r="D2937" s="148"/>
      <c r="E2937" s="154"/>
    </row>
    <row r="2938" spans="4:5" x14ac:dyDescent="0.2">
      <c r="D2938" s="148"/>
      <c r="E2938" s="154"/>
    </row>
    <row r="2939" spans="4:5" x14ac:dyDescent="0.2">
      <c r="D2939" s="148"/>
      <c r="E2939" s="154"/>
    </row>
    <row r="2940" spans="4:5" x14ac:dyDescent="0.2">
      <c r="D2940" s="148"/>
      <c r="E2940" s="154"/>
    </row>
    <row r="2941" spans="4:5" x14ac:dyDescent="0.2">
      <c r="D2941" s="148"/>
      <c r="E2941" s="154"/>
    </row>
    <row r="2942" spans="4:5" x14ac:dyDescent="0.2">
      <c r="D2942" s="148"/>
      <c r="E2942" s="154"/>
    </row>
    <row r="2943" spans="4:5" x14ac:dyDescent="0.2">
      <c r="D2943" s="148"/>
      <c r="E2943" s="154"/>
    </row>
    <row r="2944" spans="4:5" x14ac:dyDescent="0.2">
      <c r="D2944" s="148"/>
      <c r="E2944" s="154"/>
    </row>
    <row r="2945" spans="4:5" x14ac:dyDescent="0.2">
      <c r="D2945" s="148"/>
      <c r="E2945" s="154"/>
    </row>
    <row r="2946" spans="4:5" x14ac:dyDescent="0.2">
      <c r="D2946" s="148"/>
      <c r="E2946" s="154"/>
    </row>
    <row r="2947" spans="4:5" x14ac:dyDescent="0.2">
      <c r="D2947" s="148"/>
      <c r="E2947" s="154"/>
    </row>
    <row r="2948" spans="4:5" x14ac:dyDescent="0.2">
      <c r="D2948" s="148"/>
      <c r="E2948" s="154"/>
    </row>
    <row r="2949" spans="4:5" x14ac:dyDescent="0.2">
      <c r="D2949" s="148"/>
      <c r="E2949" s="154"/>
    </row>
    <row r="2950" spans="4:5" x14ac:dyDescent="0.2">
      <c r="D2950" s="148"/>
      <c r="E2950" s="154"/>
    </row>
    <row r="2951" spans="4:5" x14ac:dyDescent="0.2">
      <c r="D2951" s="148"/>
      <c r="E2951" s="154"/>
    </row>
    <row r="2952" spans="4:5" x14ac:dyDescent="0.2">
      <c r="D2952" s="148"/>
      <c r="E2952" s="154"/>
    </row>
    <row r="2953" spans="4:5" x14ac:dyDescent="0.2">
      <c r="D2953" s="148"/>
      <c r="E2953" s="154"/>
    </row>
    <row r="2954" spans="4:5" x14ac:dyDescent="0.2">
      <c r="D2954" s="148"/>
      <c r="E2954" s="154"/>
    </row>
    <row r="2955" spans="4:5" x14ac:dyDescent="0.2">
      <c r="D2955" s="148"/>
      <c r="E2955" s="154"/>
    </row>
    <row r="2956" spans="4:5" x14ac:dyDescent="0.2">
      <c r="D2956" s="148"/>
      <c r="E2956" s="154"/>
    </row>
    <row r="2957" spans="4:5" x14ac:dyDescent="0.2">
      <c r="D2957" s="148"/>
      <c r="E2957" s="154"/>
    </row>
    <row r="2958" spans="4:5" x14ac:dyDescent="0.2">
      <c r="D2958" s="148"/>
      <c r="E2958" s="154"/>
    </row>
    <row r="2959" spans="4:5" x14ac:dyDescent="0.2">
      <c r="D2959" s="148"/>
      <c r="E2959" s="154"/>
    </row>
    <row r="2960" spans="4:5" x14ac:dyDescent="0.2">
      <c r="D2960" s="148"/>
      <c r="E2960" s="154"/>
    </row>
    <row r="2961" spans="4:5" x14ac:dyDescent="0.2">
      <c r="D2961" s="148"/>
      <c r="E2961" s="154"/>
    </row>
    <row r="2962" spans="4:5" x14ac:dyDescent="0.2">
      <c r="D2962" s="148"/>
      <c r="E2962" s="154"/>
    </row>
    <row r="2963" spans="4:5" x14ac:dyDescent="0.2">
      <c r="D2963" s="148"/>
      <c r="E2963" s="154"/>
    </row>
    <row r="2964" spans="4:5" x14ac:dyDescent="0.2">
      <c r="D2964" s="148"/>
      <c r="E2964" s="154"/>
    </row>
    <row r="2965" spans="4:5" x14ac:dyDescent="0.2">
      <c r="D2965" s="148"/>
      <c r="E2965" s="154"/>
    </row>
    <row r="2966" spans="4:5" x14ac:dyDescent="0.2">
      <c r="D2966" s="148"/>
      <c r="E2966" s="154"/>
    </row>
    <row r="2967" spans="4:5" x14ac:dyDescent="0.2">
      <c r="D2967" s="148"/>
      <c r="E2967" s="154"/>
    </row>
    <row r="2968" spans="4:5" x14ac:dyDescent="0.2">
      <c r="D2968" s="148"/>
      <c r="E2968" s="154"/>
    </row>
    <row r="2969" spans="4:5" x14ac:dyDescent="0.2">
      <c r="D2969" s="148"/>
      <c r="E2969" s="154"/>
    </row>
    <row r="2970" spans="4:5" x14ac:dyDescent="0.2">
      <c r="D2970" s="148"/>
      <c r="E2970" s="154"/>
    </row>
    <row r="2971" spans="4:5" x14ac:dyDescent="0.2">
      <c r="D2971" s="148"/>
      <c r="E2971" s="154"/>
    </row>
    <row r="2972" spans="4:5" x14ac:dyDescent="0.2">
      <c r="D2972" s="148"/>
      <c r="E2972" s="154"/>
    </row>
    <row r="2973" spans="4:5" x14ac:dyDescent="0.2">
      <c r="D2973" s="148"/>
      <c r="E2973" s="154"/>
    </row>
    <row r="2974" spans="4:5" x14ac:dyDescent="0.2">
      <c r="D2974" s="148"/>
      <c r="E2974" s="154"/>
    </row>
    <row r="2975" spans="4:5" x14ac:dyDescent="0.2">
      <c r="D2975" s="148"/>
      <c r="E2975" s="154"/>
    </row>
    <row r="2976" spans="4:5" x14ac:dyDescent="0.2">
      <c r="D2976" s="148"/>
      <c r="E2976" s="154"/>
    </row>
    <row r="2977" spans="4:5" x14ac:dyDescent="0.2">
      <c r="D2977" s="148"/>
      <c r="E2977" s="154"/>
    </row>
    <row r="2978" spans="4:5" x14ac:dyDescent="0.2">
      <c r="D2978" s="148"/>
      <c r="E2978" s="154"/>
    </row>
    <row r="2979" spans="4:5" x14ac:dyDescent="0.2">
      <c r="D2979" s="148"/>
      <c r="E2979" s="154"/>
    </row>
    <row r="2980" spans="4:5" x14ac:dyDescent="0.2">
      <c r="D2980" s="148"/>
      <c r="E2980" s="154"/>
    </row>
    <row r="2981" spans="4:5" x14ac:dyDescent="0.2">
      <c r="D2981" s="148"/>
      <c r="E2981" s="154"/>
    </row>
    <row r="2982" spans="4:5" x14ac:dyDescent="0.2">
      <c r="D2982" s="148"/>
      <c r="E2982" s="154"/>
    </row>
    <row r="2983" spans="4:5" x14ac:dyDescent="0.2">
      <c r="D2983" s="148"/>
      <c r="E2983" s="154"/>
    </row>
    <row r="2984" spans="4:5" x14ac:dyDescent="0.2">
      <c r="D2984" s="148"/>
      <c r="E2984" s="154"/>
    </row>
    <row r="2985" spans="4:5" x14ac:dyDescent="0.2">
      <c r="D2985" s="148"/>
      <c r="E2985" s="154"/>
    </row>
    <row r="2986" spans="4:5" x14ac:dyDescent="0.2">
      <c r="D2986" s="148"/>
      <c r="E2986" s="154"/>
    </row>
    <row r="2987" spans="4:5" x14ac:dyDescent="0.2">
      <c r="D2987" s="148"/>
      <c r="E2987" s="154"/>
    </row>
    <row r="2988" spans="4:5" x14ac:dyDescent="0.2">
      <c r="D2988" s="148"/>
      <c r="E2988" s="154"/>
    </row>
    <row r="2989" spans="4:5" x14ac:dyDescent="0.2">
      <c r="D2989" s="148"/>
      <c r="E2989" s="154"/>
    </row>
    <row r="2990" spans="4:5" x14ac:dyDescent="0.2">
      <c r="D2990" s="148"/>
      <c r="E2990" s="154"/>
    </row>
    <row r="2991" spans="4:5" x14ac:dyDescent="0.2">
      <c r="D2991" s="148"/>
      <c r="E2991" s="154"/>
    </row>
    <row r="2992" spans="4:5" x14ac:dyDescent="0.2">
      <c r="D2992" s="148"/>
      <c r="E2992" s="154"/>
    </row>
    <row r="2993" spans="4:5" x14ac:dyDescent="0.2">
      <c r="D2993" s="148"/>
      <c r="E2993" s="154"/>
    </row>
    <row r="2994" spans="4:5" x14ac:dyDescent="0.2">
      <c r="D2994" s="148"/>
      <c r="E2994" s="154"/>
    </row>
    <row r="2995" spans="4:5" x14ac:dyDescent="0.2">
      <c r="D2995" s="148"/>
      <c r="E2995" s="154"/>
    </row>
    <row r="2996" spans="4:5" x14ac:dyDescent="0.2">
      <c r="D2996" s="148"/>
      <c r="E2996" s="154"/>
    </row>
    <row r="2997" spans="4:5" x14ac:dyDescent="0.2">
      <c r="D2997" s="148"/>
      <c r="E2997" s="154"/>
    </row>
    <row r="2998" spans="4:5" x14ac:dyDescent="0.2">
      <c r="D2998" s="148"/>
      <c r="E2998" s="154"/>
    </row>
    <row r="2999" spans="4:5" x14ac:dyDescent="0.2">
      <c r="D2999" s="148"/>
      <c r="E2999" s="154"/>
    </row>
    <row r="3000" spans="4:5" x14ac:dyDescent="0.2">
      <c r="D3000" s="148"/>
      <c r="E3000" s="154"/>
    </row>
    <row r="3001" spans="4:5" x14ac:dyDescent="0.2">
      <c r="D3001" s="148"/>
      <c r="E3001" s="154"/>
    </row>
    <row r="3002" spans="4:5" x14ac:dyDescent="0.2">
      <c r="D3002" s="148"/>
      <c r="E3002" s="154"/>
    </row>
    <row r="3003" spans="4:5" x14ac:dyDescent="0.2">
      <c r="D3003" s="148"/>
      <c r="E3003" s="154"/>
    </row>
    <row r="3004" spans="4:5" x14ac:dyDescent="0.2">
      <c r="D3004" s="148"/>
      <c r="E3004" s="154"/>
    </row>
    <row r="3005" spans="4:5" x14ac:dyDescent="0.2">
      <c r="D3005" s="148"/>
      <c r="E3005" s="154"/>
    </row>
    <row r="3006" spans="4:5" x14ac:dyDescent="0.2">
      <c r="D3006" s="148"/>
      <c r="E3006" s="154"/>
    </row>
    <row r="3007" spans="4:5" x14ac:dyDescent="0.2">
      <c r="D3007" s="148"/>
      <c r="E3007" s="154"/>
    </row>
    <row r="3008" spans="4:5" x14ac:dyDescent="0.2">
      <c r="D3008" s="148"/>
      <c r="E3008" s="154"/>
    </row>
    <row r="3009" spans="4:5" x14ac:dyDescent="0.2">
      <c r="D3009" s="148"/>
      <c r="E3009" s="154"/>
    </row>
    <row r="3010" spans="4:5" x14ac:dyDescent="0.2">
      <c r="D3010" s="148"/>
      <c r="E3010" s="154"/>
    </row>
    <row r="3011" spans="4:5" x14ac:dyDescent="0.2">
      <c r="D3011" s="148"/>
      <c r="E3011" s="154"/>
    </row>
    <row r="3012" spans="4:5" x14ac:dyDescent="0.2">
      <c r="D3012" s="148"/>
      <c r="E3012" s="154"/>
    </row>
    <row r="3013" spans="4:5" x14ac:dyDescent="0.2">
      <c r="D3013" s="148"/>
      <c r="E3013" s="154"/>
    </row>
    <row r="3014" spans="4:5" x14ac:dyDescent="0.2">
      <c r="D3014" s="148"/>
      <c r="E3014" s="154"/>
    </row>
    <row r="3015" spans="4:5" x14ac:dyDescent="0.2">
      <c r="D3015" s="148"/>
      <c r="E3015" s="154"/>
    </row>
    <row r="3016" spans="4:5" x14ac:dyDescent="0.2">
      <c r="D3016" s="148"/>
      <c r="E3016" s="154"/>
    </row>
    <row r="3017" spans="4:5" x14ac:dyDescent="0.2">
      <c r="D3017" s="148"/>
      <c r="E3017" s="154"/>
    </row>
    <row r="3018" spans="4:5" x14ac:dyDescent="0.2">
      <c r="D3018" s="148"/>
      <c r="E3018" s="154"/>
    </row>
    <row r="3019" spans="4:5" x14ac:dyDescent="0.2">
      <c r="D3019" s="148"/>
      <c r="E3019" s="154"/>
    </row>
    <row r="3020" spans="4:5" x14ac:dyDescent="0.2">
      <c r="D3020" s="148"/>
      <c r="E3020" s="154"/>
    </row>
    <row r="3021" spans="4:5" x14ac:dyDescent="0.2">
      <c r="D3021" s="148"/>
      <c r="E3021" s="154"/>
    </row>
    <row r="3022" spans="4:5" x14ac:dyDescent="0.2">
      <c r="D3022" s="148"/>
      <c r="E3022" s="154"/>
    </row>
    <row r="3023" spans="4:5" x14ac:dyDescent="0.2">
      <c r="D3023" s="148"/>
      <c r="E3023" s="154"/>
    </row>
    <row r="3024" spans="4:5" x14ac:dyDescent="0.2">
      <c r="D3024" s="148"/>
      <c r="E3024" s="154"/>
    </row>
    <row r="3025" spans="4:5" x14ac:dyDescent="0.2">
      <c r="D3025" s="148"/>
      <c r="E3025" s="154"/>
    </row>
    <row r="3026" spans="4:5" x14ac:dyDescent="0.2">
      <c r="D3026" s="148"/>
      <c r="E3026" s="154"/>
    </row>
    <row r="3027" spans="4:5" x14ac:dyDescent="0.2">
      <c r="D3027" s="148"/>
      <c r="E3027" s="154"/>
    </row>
    <row r="3028" spans="4:5" x14ac:dyDescent="0.2">
      <c r="D3028" s="148"/>
      <c r="E3028" s="154"/>
    </row>
    <row r="3029" spans="4:5" x14ac:dyDescent="0.2">
      <c r="D3029" s="148"/>
      <c r="E3029" s="154"/>
    </row>
    <row r="3030" spans="4:5" x14ac:dyDescent="0.2">
      <c r="D3030" s="148"/>
      <c r="E3030" s="154"/>
    </row>
    <row r="3031" spans="4:5" x14ac:dyDescent="0.2">
      <c r="D3031" s="148"/>
      <c r="E3031" s="154"/>
    </row>
    <row r="3032" spans="4:5" x14ac:dyDescent="0.2">
      <c r="D3032" s="148"/>
      <c r="E3032" s="154"/>
    </row>
    <row r="3033" spans="4:5" x14ac:dyDescent="0.2">
      <c r="D3033" s="148"/>
      <c r="E3033" s="154"/>
    </row>
    <row r="3034" spans="4:5" x14ac:dyDescent="0.2">
      <c r="D3034" s="148"/>
      <c r="E3034" s="154"/>
    </row>
    <row r="3035" spans="4:5" x14ac:dyDescent="0.2">
      <c r="D3035" s="148"/>
      <c r="E3035" s="154"/>
    </row>
    <row r="3036" spans="4:5" x14ac:dyDescent="0.2">
      <c r="D3036" s="148"/>
      <c r="E3036" s="154"/>
    </row>
    <row r="3037" spans="4:5" x14ac:dyDescent="0.2">
      <c r="D3037" s="148"/>
      <c r="E3037" s="154"/>
    </row>
    <row r="3038" spans="4:5" x14ac:dyDescent="0.2">
      <c r="D3038" s="148"/>
      <c r="E3038" s="154"/>
    </row>
    <row r="3039" spans="4:5" x14ac:dyDescent="0.2">
      <c r="D3039" s="148"/>
      <c r="E3039" s="154"/>
    </row>
    <row r="3040" spans="4:5" x14ac:dyDescent="0.2">
      <c r="D3040" s="148"/>
      <c r="E3040" s="154"/>
    </row>
    <row r="3041" spans="4:5" x14ac:dyDescent="0.2">
      <c r="D3041" s="148"/>
      <c r="E3041" s="154"/>
    </row>
    <row r="3042" spans="4:5" x14ac:dyDescent="0.2">
      <c r="D3042" s="148"/>
      <c r="E3042" s="154"/>
    </row>
    <row r="3043" spans="4:5" x14ac:dyDescent="0.2">
      <c r="D3043" s="148"/>
      <c r="E3043" s="154"/>
    </row>
    <row r="3044" spans="4:5" x14ac:dyDescent="0.2">
      <c r="D3044" s="148"/>
      <c r="E3044" s="154"/>
    </row>
    <row r="3045" spans="4:5" x14ac:dyDescent="0.2">
      <c r="D3045" s="148"/>
      <c r="E3045" s="154"/>
    </row>
    <row r="3046" spans="4:5" x14ac:dyDescent="0.2">
      <c r="D3046" s="148"/>
      <c r="E3046" s="154"/>
    </row>
    <row r="3047" spans="4:5" x14ac:dyDescent="0.2">
      <c r="D3047" s="148"/>
      <c r="E3047" s="154"/>
    </row>
    <row r="3048" spans="4:5" x14ac:dyDescent="0.2">
      <c r="D3048" s="148"/>
      <c r="E3048" s="154"/>
    </row>
    <row r="3049" spans="4:5" x14ac:dyDescent="0.2">
      <c r="D3049" s="148"/>
      <c r="E3049" s="154"/>
    </row>
    <row r="3050" spans="4:5" x14ac:dyDescent="0.2">
      <c r="D3050" s="148"/>
      <c r="E3050" s="154"/>
    </row>
    <row r="3051" spans="4:5" x14ac:dyDescent="0.2">
      <c r="D3051" s="148"/>
      <c r="E3051" s="154"/>
    </row>
    <row r="3052" spans="4:5" x14ac:dyDescent="0.2">
      <c r="D3052" s="148"/>
      <c r="E3052" s="154"/>
    </row>
    <row r="3053" spans="4:5" x14ac:dyDescent="0.2">
      <c r="D3053" s="148"/>
      <c r="E3053" s="154"/>
    </row>
    <row r="3054" spans="4:5" x14ac:dyDescent="0.2">
      <c r="D3054" s="148"/>
      <c r="E3054" s="154"/>
    </row>
    <row r="3055" spans="4:5" x14ac:dyDescent="0.2">
      <c r="D3055" s="148"/>
      <c r="E3055" s="154"/>
    </row>
    <row r="3056" spans="4:5" x14ac:dyDescent="0.2">
      <c r="D3056" s="148"/>
      <c r="E3056" s="154"/>
    </row>
    <row r="3057" spans="4:5" x14ac:dyDescent="0.2">
      <c r="D3057" s="148"/>
      <c r="E3057" s="154"/>
    </row>
    <row r="3058" spans="4:5" x14ac:dyDescent="0.2">
      <c r="D3058" s="148"/>
      <c r="E3058" s="154"/>
    </row>
    <row r="3059" spans="4:5" x14ac:dyDescent="0.2">
      <c r="D3059" s="148"/>
      <c r="E3059" s="154"/>
    </row>
    <row r="3060" spans="4:5" x14ac:dyDescent="0.2">
      <c r="D3060" s="148"/>
      <c r="E3060" s="154"/>
    </row>
    <row r="3061" spans="4:5" x14ac:dyDescent="0.2">
      <c r="D3061" s="148"/>
      <c r="E3061" s="154"/>
    </row>
    <row r="3062" spans="4:5" x14ac:dyDescent="0.2">
      <c r="D3062" s="148"/>
      <c r="E3062" s="154"/>
    </row>
    <row r="3063" spans="4:5" x14ac:dyDescent="0.2">
      <c r="D3063" s="148"/>
      <c r="E3063" s="154"/>
    </row>
    <row r="3064" spans="4:5" x14ac:dyDescent="0.2">
      <c r="D3064" s="148"/>
      <c r="E3064" s="154"/>
    </row>
    <row r="3065" spans="4:5" x14ac:dyDescent="0.2">
      <c r="D3065" s="148"/>
      <c r="E3065" s="154"/>
    </row>
    <row r="3066" spans="4:5" x14ac:dyDescent="0.2">
      <c r="D3066" s="148"/>
      <c r="E3066" s="154"/>
    </row>
    <row r="3067" spans="4:5" x14ac:dyDescent="0.2">
      <c r="D3067" s="148"/>
      <c r="E3067" s="154"/>
    </row>
    <row r="3068" spans="4:5" x14ac:dyDescent="0.2">
      <c r="D3068" s="148"/>
      <c r="E3068" s="154"/>
    </row>
    <row r="3069" spans="4:5" x14ac:dyDescent="0.2">
      <c r="D3069" s="148"/>
      <c r="E3069" s="154"/>
    </row>
    <row r="3070" spans="4:5" x14ac:dyDescent="0.2">
      <c r="D3070" s="148"/>
      <c r="E3070" s="154"/>
    </row>
    <row r="3071" spans="4:5" x14ac:dyDescent="0.2">
      <c r="D3071" s="148"/>
      <c r="E3071" s="154"/>
    </row>
    <row r="3072" spans="4:5" x14ac:dyDescent="0.2">
      <c r="D3072" s="148"/>
      <c r="E3072" s="154"/>
    </row>
    <row r="3073" spans="4:5" x14ac:dyDescent="0.2">
      <c r="D3073" s="148"/>
      <c r="E3073" s="154"/>
    </row>
    <row r="3074" spans="4:5" x14ac:dyDescent="0.2">
      <c r="D3074" s="148"/>
      <c r="E3074" s="154"/>
    </row>
    <row r="3075" spans="4:5" x14ac:dyDescent="0.2">
      <c r="D3075" s="148"/>
      <c r="E3075" s="154"/>
    </row>
    <row r="3076" spans="4:5" x14ac:dyDescent="0.2">
      <c r="D3076" s="148"/>
      <c r="E3076" s="154"/>
    </row>
    <row r="3077" spans="4:5" x14ac:dyDescent="0.2">
      <c r="D3077" s="148"/>
      <c r="E3077" s="154"/>
    </row>
    <row r="3078" spans="4:5" x14ac:dyDescent="0.2">
      <c r="D3078" s="148"/>
      <c r="E3078" s="154"/>
    </row>
    <row r="3079" spans="4:5" x14ac:dyDescent="0.2">
      <c r="D3079" s="148"/>
      <c r="E3079" s="154"/>
    </row>
    <row r="3080" spans="4:5" x14ac:dyDescent="0.2">
      <c r="D3080" s="148"/>
      <c r="E3080" s="154"/>
    </row>
    <row r="3081" spans="4:5" x14ac:dyDescent="0.2">
      <c r="D3081" s="148"/>
      <c r="E3081" s="154"/>
    </row>
    <row r="3082" spans="4:5" x14ac:dyDescent="0.2">
      <c r="D3082" s="148"/>
      <c r="E3082" s="154"/>
    </row>
    <row r="3083" spans="4:5" x14ac:dyDescent="0.2">
      <c r="D3083" s="148"/>
      <c r="E3083" s="154"/>
    </row>
    <row r="3084" spans="4:5" x14ac:dyDescent="0.2">
      <c r="D3084" s="148"/>
      <c r="E3084" s="154"/>
    </row>
    <row r="3085" spans="4:5" x14ac:dyDescent="0.2">
      <c r="D3085" s="148"/>
      <c r="E3085" s="154"/>
    </row>
    <row r="3086" spans="4:5" x14ac:dyDescent="0.2">
      <c r="D3086" s="148"/>
      <c r="E3086" s="154"/>
    </row>
    <row r="3087" spans="4:5" x14ac:dyDescent="0.2">
      <c r="D3087" s="148"/>
      <c r="E3087" s="154"/>
    </row>
    <row r="3088" spans="4:5" x14ac:dyDescent="0.2">
      <c r="D3088" s="148"/>
      <c r="E3088" s="154"/>
    </row>
    <row r="3089" spans="4:5" x14ac:dyDescent="0.2">
      <c r="D3089" s="148"/>
      <c r="E3089" s="154"/>
    </row>
    <row r="3090" spans="4:5" x14ac:dyDescent="0.2">
      <c r="D3090" s="148"/>
      <c r="E3090" s="154"/>
    </row>
    <row r="3091" spans="4:5" x14ac:dyDescent="0.2">
      <c r="D3091" s="148"/>
      <c r="E3091" s="154"/>
    </row>
    <row r="3092" spans="4:5" x14ac:dyDescent="0.2">
      <c r="D3092" s="148"/>
      <c r="E3092" s="154"/>
    </row>
    <row r="3093" spans="4:5" x14ac:dyDescent="0.2">
      <c r="D3093" s="148"/>
      <c r="E3093" s="154"/>
    </row>
    <row r="3094" spans="4:5" x14ac:dyDescent="0.2">
      <c r="D3094" s="148"/>
      <c r="E3094" s="154"/>
    </row>
    <row r="3095" spans="4:5" x14ac:dyDescent="0.2">
      <c r="D3095" s="148"/>
      <c r="E3095" s="154"/>
    </row>
    <row r="3096" spans="4:5" x14ac:dyDescent="0.2">
      <c r="D3096" s="148"/>
      <c r="E3096" s="154"/>
    </row>
    <row r="3097" spans="4:5" x14ac:dyDescent="0.2">
      <c r="D3097" s="148"/>
      <c r="E3097" s="154"/>
    </row>
    <row r="3098" spans="4:5" x14ac:dyDescent="0.2">
      <c r="D3098" s="148"/>
      <c r="E3098" s="154"/>
    </row>
    <row r="3099" spans="4:5" x14ac:dyDescent="0.2">
      <c r="D3099" s="148"/>
      <c r="E3099" s="154"/>
    </row>
    <row r="3100" spans="4:5" x14ac:dyDescent="0.2">
      <c r="D3100" s="148"/>
      <c r="E3100" s="154"/>
    </row>
    <row r="3101" spans="4:5" x14ac:dyDescent="0.2">
      <c r="D3101" s="148"/>
      <c r="E3101" s="154"/>
    </row>
    <row r="3102" spans="4:5" x14ac:dyDescent="0.2">
      <c r="D3102" s="148"/>
      <c r="E3102" s="154"/>
    </row>
    <row r="3103" spans="4:5" x14ac:dyDescent="0.2">
      <c r="D3103" s="148"/>
      <c r="E3103" s="154"/>
    </row>
    <row r="3104" spans="4:5" x14ac:dyDescent="0.2">
      <c r="D3104" s="148"/>
      <c r="E3104" s="154"/>
    </row>
    <row r="3105" spans="4:5" x14ac:dyDescent="0.2">
      <c r="D3105" s="148"/>
      <c r="E3105" s="154"/>
    </row>
    <row r="3106" spans="4:5" x14ac:dyDescent="0.2">
      <c r="D3106" s="148"/>
      <c r="E3106" s="154"/>
    </row>
    <row r="3107" spans="4:5" x14ac:dyDescent="0.2">
      <c r="D3107" s="148"/>
      <c r="E3107" s="154"/>
    </row>
    <row r="3108" spans="4:5" x14ac:dyDescent="0.2">
      <c r="D3108" s="148"/>
      <c r="E3108" s="154"/>
    </row>
    <row r="3109" spans="4:5" x14ac:dyDescent="0.2">
      <c r="D3109" s="148"/>
      <c r="E3109" s="154"/>
    </row>
    <row r="3110" spans="4:5" x14ac:dyDescent="0.2">
      <c r="D3110" s="148"/>
      <c r="E3110" s="154"/>
    </row>
    <row r="3111" spans="4:5" x14ac:dyDescent="0.2">
      <c r="D3111" s="148"/>
      <c r="E3111" s="154"/>
    </row>
    <row r="3112" spans="4:5" x14ac:dyDescent="0.2">
      <c r="D3112" s="148"/>
      <c r="E3112" s="154"/>
    </row>
    <row r="3113" spans="4:5" x14ac:dyDescent="0.2">
      <c r="D3113" s="148"/>
      <c r="E3113" s="154"/>
    </row>
    <row r="3114" spans="4:5" x14ac:dyDescent="0.2">
      <c r="D3114" s="148"/>
      <c r="E3114" s="154"/>
    </row>
    <row r="3115" spans="4:5" x14ac:dyDescent="0.2">
      <c r="D3115" s="148"/>
      <c r="E3115" s="154"/>
    </row>
    <row r="3116" spans="4:5" x14ac:dyDescent="0.2">
      <c r="D3116" s="148"/>
      <c r="E3116" s="154"/>
    </row>
    <row r="3117" spans="4:5" x14ac:dyDescent="0.2">
      <c r="D3117" s="148"/>
      <c r="E3117" s="154"/>
    </row>
    <row r="3118" spans="4:5" x14ac:dyDescent="0.2">
      <c r="D3118" s="148"/>
      <c r="E3118" s="154"/>
    </row>
    <row r="3119" spans="4:5" x14ac:dyDescent="0.2">
      <c r="D3119" s="148"/>
      <c r="E3119" s="154"/>
    </row>
    <row r="3120" spans="4:5" x14ac:dyDescent="0.2">
      <c r="D3120" s="148"/>
      <c r="E3120" s="154"/>
    </row>
    <row r="3121" spans="4:5" x14ac:dyDescent="0.2">
      <c r="D3121" s="148"/>
      <c r="E3121" s="154"/>
    </row>
    <row r="3122" spans="4:5" x14ac:dyDescent="0.2">
      <c r="D3122" s="148"/>
      <c r="E3122" s="154"/>
    </row>
    <row r="3123" spans="4:5" x14ac:dyDescent="0.2">
      <c r="D3123" s="148"/>
      <c r="E3123" s="154"/>
    </row>
    <row r="3124" spans="4:5" x14ac:dyDescent="0.2">
      <c r="D3124" s="148"/>
      <c r="E3124" s="154"/>
    </row>
    <row r="3125" spans="4:5" x14ac:dyDescent="0.2">
      <c r="D3125" s="148"/>
      <c r="E3125" s="154"/>
    </row>
    <row r="3126" spans="4:5" x14ac:dyDescent="0.2">
      <c r="D3126" s="148"/>
      <c r="E3126" s="154"/>
    </row>
    <row r="3127" spans="4:5" x14ac:dyDescent="0.2">
      <c r="D3127" s="148"/>
      <c r="E3127" s="154"/>
    </row>
    <row r="3128" spans="4:5" x14ac:dyDescent="0.2">
      <c r="D3128" s="148"/>
      <c r="E3128" s="154"/>
    </row>
    <row r="3129" spans="4:5" x14ac:dyDescent="0.2">
      <c r="D3129" s="148"/>
      <c r="E3129" s="154"/>
    </row>
    <row r="3130" spans="4:5" x14ac:dyDescent="0.2">
      <c r="D3130" s="148"/>
      <c r="E3130" s="154"/>
    </row>
    <row r="3131" spans="4:5" x14ac:dyDescent="0.2">
      <c r="D3131" s="148"/>
      <c r="E3131" s="154"/>
    </row>
    <row r="3132" spans="4:5" x14ac:dyDescent="0.2">
      <c r="D3132" s="148"/>
      <c r="E3132" s="154"/>
    </row>
    <row r="3133" spans="4:5" x14ac:dyDescent="0.2">
      <c r="D3133" s="148"/>
      <c r="E3133" s="154"/>
    </row>
    <row r="3134" spans="4:5" x14ac:dyDescent="0.2">
      <c r="D3134" s="148"/>
      <c r="E3134" s="154"/>
    </row>
    <row r="3135" spans="4:5" x14ac:dyDescent="0.2">
      <c r="D3135" s="148"/>
      <c r="E3135" s="154"/>
    </row>
    <row r="3136" spans="4:5" x14ac:dyDescent="0.2">
      <c r="D3136" s="148"/>
      <c r="E3136" s="154"/>
    </row>
    <row r="3137" spans="4:5" x14ac:dyDescent="0.2">
      <c r="D3137" s="148"/>
      <c r="E3137" s="154"/>
    </row>
    <row r="3138" spans="4:5" x14ac:dyDescent="0.2">
      <c r="D3138" s="148"/>
      <c r="E3138" s="154"/>
    </row>
    <row r="3139" spans="4:5" x14ac:dyDescent="0.2">
      <c r="D3139" s="148"/>
      <c r="E3139" s="154"/>
    </row>
    <row r="3140" spans="4:5" x14ac:dyDescent="0.2">
      <c r="D3140" s="148"/>
      <c r="E3140" s="154"/>
    </row>
    <row r="3141" spans="4:5" x14ac:dyDescent="0.2">
      <c r="D3141" s="148"/>
      <c r="E3141" s="154"/>
    </row>
    <row r="3142" spans="4:5" x14ac:dyDescent="0.2">
      <c r="D3142" s="148"/>
      <c r="E3142" s="154"/>
    </row>
    <row r="3143" spans="4:5" x14ac:dyDescent="0.2">
      <c r="D3143" s="148"/>
      <c r="E3143" s="154"/>
    </row>
    <row r="3144" spans="4:5" x14ac:dyDescent="0.2">
      <c r="D3144" s="148"/>
      <c r="E3144" s="154"/>
    </row>
    <row r="3145" spans="4:5" x14ac:dyDescent="0.2">
      <c r="D3145" s="148"/>
      <c r="E3145" s="154"/>
    </row>
    <row r="3146" spans="4:5" x14ac:dyDescent="0.2">
      <c r="D3146" s="148"/>
      <c r="E3146" s="154"/>
    </row>
    <row r="3147" spans="4:5" x14ac:dyDescent="0.2">
      <c r="D3147" s="148"/>
      <c r="E3147" s="154"/>
    </row>
    <row r="3148" spans="4:5" x14ac:dyDescent="0.2">
      <c r="D3148" s="148"/>
      <c r="E3148" s="154"/>
    </row>
    <row r="3149" spans="4:5" x14ac:dyDescent="0.2">
      <c r="D3149" s="148"/>
      <c r="E3149" s="154"/>
    </row>
    <row r="3150" spans="4:5" x14ac:dyDescent="0.2">
      <c r="D3150" s="148"/>
      <c r="E3150" s="154"/>
    </row>
    <row r="3151" spans="4:5" x14ac:dyDescent="0.2">
      <c r="D3151" s="148"/>
      <c r="E3151" s="154"/>
    </row>
    <row r="3152" spans="4:5" x14ac:dyDescent="0.2">
      <c r="D3152" s="148"/>
      <c r="E3152" s="154"/>
    </row>
    <row r="3153" spans="4:5" x14ac:dyDescent="0.2">
      <c r="D3153" s="148"/>
      <c r="E3153" s="154"/>
    </row>
    <row r="3154" spans="4:5" x14ac:dyDescent="0.2">
      <c r="D3154" s="148"/>
      <c r="E3154" s="154"/>
    </row>
    <row r="3155" spans="4:5" x14ac:dyDescent="0.2">
      <c r="D3155" s="148"/>
      <c r="E3155" s="154"/>
    </row>
    <row r="3156" spans="4:5" x14ac:dyDescent="0.2">
      <c r="D3156" s="148"/>
      <c r="E3156" s="154"/>
    </row>
    <row r="3157" spans="4:5" x14ac:dyDescent="0.2">
      <c r="D3157" s="148"/>
      <c r="E3157" s="154"/>
    </row>
    <row r="3158" spans="4:5" x14ac:dyDescent="0.2">
      <c r="D3158" s="148"/>
      <c r="E3158" s="154"/>
    </row>
    <row r="3159" spans="4:5" x14ac:dyDescent="0.2">
      <c r="D3159" s="148"/>
      <c r="E3159" s="154"/>
    </row>
    <row r="3160" spans="4:5" x14ac:dyDescent="0.2">
      <c r="D3160" s="148"/>
      <c r="E3160" s="154"/>
    </row>
    <row r="3161" spans="4:5" x14ac:dyDescent="0.2">
      <c r="D3161" s="148"/>
      <c r="E3161" s="154"/>
    </row>
    <row r="3162" spans="4:5" x14ac:dyDescent="0.2">
      <c r="D3162" s="148"/>
      <c r="E3162" s="154"/>
    </row>
    <row r="3163" spans="4:5" x14ac:dyDescent="0.2">
      <c r="D3163" s="148"/>
      <c r="E3163" s="154"/>
    </row>
    <row r="3164" spans="4:5" x14ac:dyDescent="0.2">
      <c r="D3164" s="148"/>
      <c r="E3164" s="154"/>
    </row>
    <row r="3165" spans="4:5" x14ac:dyDescent="0.2">
      <c r="D3165" s="148"/>
      <c r="E3165" s="154"/>
    </row>
    <row r="3166" spans="4:5" x14ac:dyDescent="0.2">
      <c r="D3166" s="148"/>
      <c r="E3166" s="154"/>
    </row>
    <row r="3167" spans="4:5" x14ac:dyDescent="0.2">
      <c r="D3167" s="148"/>
      <c r="E3167" s="154"/>
    </row>
    <row r="3168" spans="4:5" x14ac:dyDescent="0.2">
      <c r="D3168" s="148"/>
      <c r="E3168" s="154"/>
    </row>
    <row r="3169" spans="4:5" x14ac:dyDescent="0.2">
      <c r="D3169" s="148"/>
      <c r="E3169" s="154"/>
    </row>
    <row r="3170" spans="4:5" x14ac:dyDescent="0.2">
      <c r="D3170" s="148"/>
      <c r="E3170" s="154"/>
    </row>
    <row r="3171" spans="4:5" x14ac:dyDescent="0.2">
      <c r="D3171" s="148"/>
      <c r="E3171" s="154"/>
    </row>
    <row r="3172" spans="4:5" x14ac:dyDescent="0.2">
      <c r="D3172" s="148"/>
      <c r="E3172" s="154"/>
    </row>
    <row r="3173" spans="4:5" x14ac:dyDescent="0.2">
      <c r="D3173" s="148"/>
      <c r="E3173" s="154"/>
    </row>
    <row r="3174" spans="4:5" x14ac:dyDescent="0.2">
      <c r="D3174" s="148"/>
      <c r="E3174" s="154"/>
    </row>
    <row r="3175" spans="4:5" x14ac:dyDescent="0.2">
      <c r="D3175" s="148"/>
      <c r="E3175" s="154"/>
    </row>
    <row r="3176" spans="4:5" x14ac:dyDescent="0.2">
      <c r="D3176" s="148"/>
      <c r="E3176" s="154"/>
    </row>
    <row r="3177" spans="4:5" x14ac:dyDescent="0.2">
      <c r="D3177" s="148"/>
      <c r="E3177" s="154"/>
    </row>
    <row r="3178" spans="4:5" x14ac:dyDescent="0.2">
      <c r="D3178" s="148"/>
      <c r="E3178" s="154"/>
    </row>
    <row r="3179" spans="4:5" x14ac:dyDescent="0.2">
      <c r="D3179" s="148"/>
      <c r="E3179" s="154"/>
    </row>
    <row r="3180" spans="4:5" x14ac:dyDescent="0.2">
      <c r="D3180" s="148"/>
      <c r="E3180" s="154"/>
    </row>
    <row r="3181" spans="4:5" x14ac:dyDescent="0.2">
      <c r="D3181" s="148"/>
      <c r="E3181" s="154"/>
    </row>
    <row r="3182" spans="4:5" x14ac:dyDescent="0.2">
      <c r="D3182" s="148"/>
      <c r="E3182" s="154"/>
    </row>
    <row r="3183" spans="4:5" x14ac:dyDescent="0.2">
      <c r="D3183" s="148"/>
      <c r="E3183" s="154"/>
    </row>
    <row r="3184" spans="4:5" x14ac:dyDescent="0.2">
      <c r="D3184" s="148"/>
      <c r="E3184" s="154"/>
    </row>
    <row r="3185" spans="4:5" x14ac:dyDescent="0.2">
      <c r="D3185" s="148"/>
      <c r="E3185" s="154"/>
    </row>
    <row r="3186" spans="4:5" x14ac:dyDescent="0.2">
      <c r="D3186" s="148"/>
      <c r="E3186" s="154"/>
    </row>
    <row r="3187" spans="4:5" x14ac:dyDescent="0.2">
      <c r="D3187" s="148"/>
      <c r="E3187" s="154"/>
    </row>
    <row r="3188" spans="4:5" x14ac:dyDescent="0.2">
      <c r="D3188" s="148"/>
      <c r="E3188" s="154"/>
    </row>
    <row r="3189" spans="4:5" x14ac:dyDescent="0.2">
      <c r="D3189" s="148"/>
      <c r="E3189" s="154"/>
    </row>
    <row r="3190" spans="4:5" x14ac:dyDescent="0.2">
      <c r="D3190" s="148"/>
      <c r="E3190" s="154"/>
    </row>
    <row r="3191" spans="4:5" x14ac:dyDescent="0.2">
      <c r="D3191" s="148"/>
      <c r="E3191" s="154"/>
    </row>
    <row r="3192" spans="4:5" x14ac:dyDescent="0.2">
      <c r="D3192" s="148"/>
      <c r="E3192" s="154"/>
    </row>
    <row r="3193" spans="4:5" x14ac:dyDescent="0.2">
      <c r="D3193" s="148"/>
      <c r="E3193" s="154"/>
    </row>
    <row r="3194" spans="4:5" x14ac:dyDescent="0.2">
      <c r="D3194" s="148"/>
      <c r="E3194" s="154"/>
    </row>
    <row r="3195" spans="4:5" x14ac:dyDescent="0.2">
      <c r="D3195" s="148"/>
      <c r="E3195" s="154"/>
    </row>
    <row r="3196" spans="4:5" x14ac:dyDescent="0.2">
      <c r="D3196" s="148"/>
      <c r="E3196" s="154"/>
    </row>
    <row r="3197" spans="4:5" x14ac:dyDescent="0.2">
      <c r="D3197" s="148"/>
      <c r="E3197" s="154"/>
    </row>
    <row r="3198" spans="4:5" x14ac:dyDescent="0.2">
      <c r="D3198" s="148"/>
      <c r="E3198" s="154"/>
    </row>
    <row r="3199" spans="4:5" x14ac:dyDescent="0.2">
      <c r="D3199" s="148"/>
      <c r="E3199" s="154"/>
    </row>
    <row r="3200" spans="4:5" x14ac:dyDescent="0.2">
      <c r="D3200" s="148"/>
      <c r="E3200" s="154"/>
    </row>
    <row r="3201" spans="4:5" x14ac:dyDescent="0.2">
      <c r="D3201" s="148"/>
      <c r="E3201" s="154"/>
    </row>
    <row r="3202" spans="4:5" x14ac:dyDescent="0.2">
      <c r="D3202" s="148"/>
      <c r="E3202" s="154"/>
    </row>
    <row r="3203" spans="4:5" x14ac:dyDescent="0.2">
      <c r="D3203" s="148"/>
      <c r="E3203" s="154"/>
    </row>
    <row r="3204" spans="4:5" x14ac:dyDescent="0.2">
      <c r="D3204" s="148"/>
      <c r="E3204" s="154"/>
    </row>
    <row r="3205" spans="4:5" x14ac:dyDescent="0.2">
      <c r="D3205" s="148"/>
      <c r="E3205" s="154"/>
    </row>
    <row r="3206" spans="4:5" x14ac:dyDescent="0.2">
      <c r="D3206" s="148"/>
      <c r="E3206" s="154"/>
    </row>
    <row r="3207" spans="4:5" x14ac:dyDescent="0.2">
      <c r="D3207" s="148"/>
      <c r="E3207" s="154"/>
    </row>
    <row r="3208" spans="4:5" x14ac:dyDescent="0.2">
      <c r="D3208" s="148"/>
      <c r="E3208" s="154"/>
    </row>
    <row r="3209" spans="4:5" x14ac:dyDescent="0.2">
      <c r="D3209" s="148"/>
      <c r="E3209" s="154"/>
    </row>
    <row r="3210" spans="4:5" x14ac:dyDescent="0.2">
      <c r="D3210" s="148"/>
      <c r="E3210" s="154"/>
    </row>
    <row r="3211" spans="4:5" x14ac:dyDescent="0.2">
      <c r="D3211" s="148"/>
      <c r="E3211" s="154"/>
    </row>
    <row r="3212" spans="4:5" x14ac:dyDescent="0.2">
      <c r="D3212" s="148"/>
      <c r="E3212" s="154"/>
    </row>
    <row r="3213" spans="4:5" x14ac:dyDescent="0.2">
      <c r="D3213" s="148"/>
      <c r="E3213" s="154"/>
    </row>
    <row r="3214" spans="4:5" x14ac:dyDescent="0.2">
      <c r="D3214" s="148"/>
      <c r="E3214" s="154"/>
    </row>
    <row r="3215" spans="4:5" x14ac:dyDescent="0.2">
      <c r="D3215" s="148"/>
      <c r="E3215" s="154"/>
    </row>
    <row r="3216" spans="4:5" x14ac:dyDescent="0.2">
      <c r="D3216" s="148"/>
      <c r="E3216" s="154"/>
    </row>
    <row r="3217" spans="4:5" x14ac:dyDescent="0.2">
      <c r="D3217" s="148"/>
      <c r="E3217" s="154"/>
    </row>
    <row r="3218" spans="4:5" x14ac:dyDescent="0.2">
      <c r="D3218" s="148"/>
      <c r="E3218" s="154"/>
    </row>
    <row r="3219" spans="4:5" x14ac:dyDescent="0.2">
      <c r="D3219" s="148"/>
      <c r="E3219" s="154"/>
    </row>
    <row r="3220" spans="4:5" x14ac:dyDescent="0.2">
      <c r="D3220" s="148"/>
      <c r="E3220" s="154"/>
    </row>
    <row r="3221" spans="4:5" x14ac:dyDescent="0.2">
      <c r="D3221" s="148"/>
      <c r="E3221" s="154"/>
    </row>
    <row r="3222" spans="4:5" x14ac:dyDescent="0.2">
      <c r="D3222" s="148"/>
      <c r="E3222" s="154"/>
    </row>
    <row r="3223" spans="4:5" x14ac:dyDescent="0.2">
      <c r="D3223" s="148"/>
      <c r="E3223" s="154"/>
    </row>
    <row r="3224" spans="4:5" x14ac:dyDescent="0.2">
      <c r="D3224" s="148"/>
      <c r="E3224" s="154"/>
    </row>
    <row r="3225" spans="4:5" x14ac:dyDescent="0.2">
      <c r="D3225" s="148"/>
      <c r="E3225" s="154"/>
    </row>
    <row r="3226" spans="4:5" x14ac:dyDescent="0.2">
      <c r="D3226" s="148"/>
      <c r="E3226" s="154"/>
    </row>
    <row r="3227" spans="4:5" x14ac:dyDescent="0.2">
      <c r="D3227" s="148"/>
      <c r="E3227" s="154"/>
    </row>
    <row r="3228" spans="4:5" x14ac:dyDescent="0.2">
      <c r="D3228" s="148"/>
      <c r="E3228" s="154"/>
    </row>
    <row r="3229" spans="4:5" x14ac:dyDescent="0.2">
      <c r="D3229" s="148"/>
      <c r="E3229" s="154"/>
    </row>
    <row r="3230" spans="4:5" x14ac:dyDescent="0.2">
      <c r="D3230" s="148"/>
      <c r="E3230" s="154"/>
    </row>
    <row r="3231" spans="4:5" x14ac:dyDescent="0.2">
      <c r="D3231" s="148"/>
      <c r="E3231" s="154"/>
    </row>
    <row r="3232" spans="4:5" x14ac:dyDescent="0.2">
      <c r="D3232" s="148"/>
      <c r="E3232" s="154"/>
    </row>
    <row r="3233" spans="4:5" x14ac:dyDescent="0.2">
      <c r="D3233" s="148"/>
      <c r="E3233" s="154"/>
    </row>
    <row r="3234" spans="4:5" x14ac:dyDescent="0.2">
      <c r="D3234" s="148"/>
      <c r="E3234" s="154"/>
    </row>
    <row r="3235" spans="4:5" x14ac:dyDescent="0.2">
      <c r="D3235" s="148"/>
      <c r="E3235" s="154"/>
    </row>
    <row r="3236" spans="4:5" x14ac:dyDescent="0.2">
      <c r="D3236" s="148"/>
      <c r="E3236" s="154"/>
    </row>
    <row r="3237" spans="4:5" x14ac:dyDescent="0.2">
      <c r="D3237" s="148"/>
      <c r="E3237" s="154"/>
    </row>
    <row r="3238" spans="4:5" x14ac:dyDescent="0.2">
      <c r="D3238" s="148"/>
      <c r="E3238" s="154"/>
    </row>
    <row r="3239" spans="4:5" x14ac:dyDescent="0.2">
      <c r="D3239" s="148"/>
      <c r="E3239" s="154"/>
    </row>
    <row r="3240" spans="4:5" x14ac:dyDescent="0.2">
      <c r="D3240" s="148"/>
      <c r="E3240" s="154"/>
    </row>
    <row r="3241" spans="4:5" x14ac:dyDescent="0.2">
      <c r="D3241" s="148"/>
      <c r="E3241" s="154"/>
    </row>
    <row r="3242" spans="4:5" x14ac:dyDescent="0.2">
      <c r="D3242" s="148"/>
      <c r="E3242" s="154"/>
    </row>
    <row r="3243" spans="4:5" x14ac:dyDescent="0.2">
      <c r="D3243" s="148"/>
      <c r="E3243" s="154"/>
    </row>
    <row r="3244" spans="4:5" x14ac:dyDescent="0.2">
      <c r="D3244" s="148"/>
      <c r="E3244" s="154"/>
    </row>
    <row r="3245" spans="4:5" x14ac:dyDescent="0.2">
      <c r="D3245" s="148"/>
      <c r="E3245" s="154"/>
    </row>
    <row r="3246" spans="4:5" x14ac:dyDescent="0.2">
      <c r="D3246" s="148"/>
      <c r="E3246" s="154"/>
    </row>
    <row r="3247" spans="4:5" x14ac:dyDescent="0.2">
      <c r="D3247" s="148"/>
      <c r="E3247" s="154"/>
    </row>
    <row r="3248" spans="4:5" x14ac:dyDescent="0.2">
      <c r="D3248" s="148"/>
      <c r="E3248" s="154"/>
    </row>
    <row r="3249" spans="4:5" x14ac:dyDescent="0.2">
      <c r="D3249" s="148"/>
      <c r="E3249" s="154"/>
    </row>
    <row r="3250" spans="4:5" x14ac:dyDescent="0.2">
      <c r="D3250" s="148"/>
      <c r="E3250" s="154"/>
    </row>
    <row r="3251" spans="4:5" x14ac:dyDescent="0.2">
      <c r="D3251" s="148"/>
      <c r="E3251" s="154"/>
    </row>
    <row r="3252" spans="4:5" x14ac:dyDescent="0.2">
      <c r="D3252" s="148"/>
      <c r="E3252" s="154"/>
    </row>
    <row r="3253" spans="4:5" x14ac:dyDescent="0.2">
      <c r="D3253" s="148"/>
      <c r="E3253" s="154"/>
    </row>
    <row r="3254" spans="4:5" x14ac:dyDescent="0.2">
      <c r="D3254" s="148"/>
      <c r="E3254" s="154"/>
    </row>
    <row r="3255" spans="4:5" x14ac:dyDescent="0.2">
      <c r="D3255" s="148"/>
      <c r="E3255" s="154"/>
    </row>
    <row r="3256" spans="4:5" x14ac:dyDescent="0.2">
      <c r="D3256" s="148"/>
      <c r="E3256" s="154"/>
    </row>
    <row r="3257" spans="4:5" x14ac:dyDescent="0.2">
      <c r="D3257" s="148"/>
      <c r="E3257" s="154"/>
    </row>
    <row r="3258" spans="4:5" x14ac:dyDescent="0.2">
      <c r="D3258" s="148"/>
      <c r="E3258" s="154"/>
    </row>
    <row r="3259" spans="4:5" x14ac:dyDescent="0.2">
      <c r="D3259" s="148"/>
      <c r="E3259" s="154"/>
    </row>
    <row r="3260" spans="4:5" x14ac:dyDescent="0.2">
      <c r="D3260" s="148"/>
      <c r="E3260" s="154"/>
    </row>
    <row r="3261" spans="4:5" x14ac:dyDescent="0.2">
      <c r="D3261" s="148"/>
      <c r="E3261" s="154"/>
    </row>
    <row r="3262" spans="4:5" x14ac:dyDescent="0.2">
      <c r="D3262" s="148"/>
      <c r="E3262" s="154"/>
    </row>
    <row r="3263" spans="4:5" x14ac:dyDescent="0.2">
      <c r="D3263" s="148"/>
      <c r="E3263" s="154"/>
    </row>
    <row r="3264" spans="4:5" x14ac:dyDescent="0.2">
      <c r="D3264" s="148"/>
      <c r="E3264" s="154"/>
    </row>
    <row r="3265" spans="4:5" x14ac:dyDescent="0.2">
      <c r="D3265" s="148"/>
      <c r="E3265" s="154"/>
    </row>
    <row r="3266" spans="4:5" x14ac:dyDescent="0.2">
      <c r="D3266" s="148"/>
      <c r="E3266" s="154"/>
    </row>
    <row r="3267" spans="4:5" x14ac:dyDescent="0.2">
      <c r="D3267" s="148"/>
      <c r="E3267" s="154"/>
    </row>
    <row r="3268" spans="4:5" x14ac:dyDescent="0.2">
      <c r="D3268" s="148"/>
      <c r="E3268" s="154"/>
    </row>
    <row r="3269" spans="4:5" x14ac:dyDescent="0.2">
      <c r="D3269" s="148"/>
      <c r="E3269" s="154"/>
    </row>
    <row r="3270" spans="4:5" x14ac:dyDescent="0.2">
      <c r="D3270" s="148"/>
      <c r="E3270" s="154"/>
    </row>
    <row r="3271" spans="4:5" x14ac:dyDescent="0.2">
      <c r="D3271" s="148"/>
      <c r="E3271" s="154"/>
    </row>
    <row r="3272" spans="4:5" x14ac:dyDescent="0.2">
      <c r="D3272" s="148"/>
      <c r="E3272" s="154"/>
    </row>
    <row r="3273" spans="4:5" x14ac:dyDescent="0.2">
      <c r="D3273" s="148"/>
      <c r="E3273" s="154"/>
    </row>
    <row r="3274" spans="4:5" x14ac:dyDescent="0.2">
      <c r="D3274" s="148"/>
      <c r="E3274" s="154"/>
    </row>
    <row r="3275" spans="4:5" x14ac:dyDescent="0.2">
      <c r="D3275" s="148"/>
      <c r="E3275" s="154"/>
    </row>
    <row r="3276" spans="4:5" x14ac:dyDescent="0.2">
      <c r="D3276" s="148"/>
      <c r="E3276" s="154"/>
    </row>
    <row r="3277" spans="4:5" x14ac:dyDescent="0.2">
      <c r="D3277" s="148"/>
      <c r="E3277" s="154"/>
    </row>
    <row r="3278" spans="4:5" x14ac:dyDescent="0.2">
      <c r="D3278" s="148"/>
      <c r="E3278" s="154"/>
    </row>
    <row r="3279" spans="4:5" x14ac:dyDescent="0.2">
      <c r="D3279" s="148"/>
      <c r="E3279" s="154"/>
    </row>
    <row r="3280" spans="4:5" x14ac:dyDescent="0.2">
      <c r="D3280" s="148"/>
      <c r="E3280" s="154"/>
    </row>
    <row r="3281" spans="4:5" x14ac:dyDescent="0.2">
      <c r="D3281" s="148"/>
      <c r="E3281" s="154"/>
    </row>
    <row r="3282" spans="4:5" x14ac:dyDescent="0.2">
      <c r="D3282" s="148"/>
      <c r="E3282" s="154"/>
    </row>
    <row r="3283" spans="4:5" x14ac:dyDescent="0.2">
      <c r="D3283" s="148"/>
      <c r="E3283" s="154"/>
    </row>
    <row r="3284" spans="4:5" x14ac:dyDescent="0.2">
      <c r="D3284" s="148"/>
      <c r="E3284" s="154"/>
    </row>
    <row r="3285" spans="4:5" x14ac:dyDescent="0.2">
      <c r="D3285" s="148"/>
      <c r="E3285" s="154"/>
    </row>
    <row r="3286" spans="4:5" x14ac:dyDescent="0.2">
      <c r="D3286" s="148"/>
      <c r="E3286" s="154"/>
    </row>
    <row r="3287" spans="4:5" x14ac:dyDescent="0.2">
      <c r="D3287" s="148"/>
      <c r="E3287" s="154"/>
    </row>
    <row r="3288" spans="4:5" x14ac:dyDescent="0.2">
      <c r="D3288" s="148"/>
      <c r="E3288" s="154"/>
    </row>
    <row r="3289" spans="4:5" x14ac:dyDescent="0.2">
      <c r="D3289" s="148"/>
      <c r="E3289" s="154"/>
    </row>
    <row r="3290" spans="4:5" x14ac:dyDescent="0.2">
      <c r="D3290" s="148"/>
      <c r="E3290" s="154"/>
    </row>
    <row r="3291" spans="4:5" x14ac:dyDescent="0.2">
      <c r="D3291" s="148"/>
      <c r="E3291" s="154"/>
    </row>
    <row r="3292" spans="4:5" x14ac:dyDescent="0.2">
      <c r="D3292" s="148"/>
      <c r="E3292" s="154"/>
    </row>
    <row r="3293" spans="4:5" x14ac:dyDescent="0.2">
      <c r="D3293" s="148"/>
      <c r="E3293" s="154"/>
    </row>
    <row r="3294" spans="4:5" x14ac:dyDescent="0.2">
      <c r="D3294" s="148"/>
      <c r="E3294" s="154"/>
    </row>
    <row r="3295" spans="4:5" x14ac:dyDescent="0.2">
      <c r="D3295" s="148"/>
      <c r="E3295" s="154"/>
    </row>
    <row r="3296" spans="4:5" x14ac:dyDescent="0.2">
      <c r="D3296" s="148"/>
      <c r="E3296" s="154"/>
    </row>
    <row r="3297" spans="4:5" x14ac:dyDescent="0.2">
      <c r="D3297" s="148"/>
      <c r="E3297" s="154"/>
    </row>
    <row r="3298" spans="4:5" x14ac:dyDescent="0.2">
      <c r="D3298" s="148"/>
      <c r="E3298" s="154"/>
    </row>
    <row r="3299" spans="4:5" x14ac:dyDescent="0.2">
      <c r="D3299" s="148"/>
      <c r="E3299" s="154"/>
    </row>
    <row r="3300" spans="4:5" x14ac:dyDescent="0.2">
      <c r="D3300" s="148"/>
      <c r="E3300" s="154"/>
    </row>
    <row r="3301" spans="4:5" x14ac:dyDescent="0.2">
      <c r="D3301" s="148"/>
      <c r="E3301" s="154"/>
    </row>
    <row r="3302" spans="4:5" x14ac:dyDescent="0.2">
      <c r="D3302" s="148"/>
      <c r="E3302" s="154"/>
    </row>
    <row r="3303" spans="4:5" x14ac:dyDescent="0.2">
      <c r="D3303" s="148"/>
      <c r="E3303" s="154"/>
    </row>
    <row r="3304" spans="4:5" x14ac:dyDescent="0.2">
      <c r="D3304" s="148"/>
      <c r="E3304" s="154"/>
    </row>
    <row r="3305" spans="4:5" x14ac:dyDescent="0.2">
      <c r="D3305" s="148"/>
      <c r="E3305" s="154"/>
    </row>
    <row r="3306" spans="4:5" x14ac:dyDescent="0.2">
      <c r="D3306" s="148"/>
      <c r="E3306" s="154"/>
    </row>
    <row r="3307" spans="4:5" x14ac:dyDescent="0.2">
      <c r="D3307" s="148"/>
      <c r="E3307" s="154"/>
    </row>
    <row r="3308" spans="4:5" x14ac:dyDescent="0.2">
      <c r="D3308" s="148"/>
      <c r="E3308" s="154"/>
    </row>
    <row r="3309" spans="4:5" x14ac:dyDescent="0.2">
      <c r="D3309" s="148"/>
      <c r="E3309" s="154"/>
    </row>
    <row r="3310" spans="4:5" x14ac:dyDescent="0.2">
      <c r="D3310" s="148"/>
      <c r="E3310" s="154"/>
    </row>
    <row r="3311" spans="4:5" x14ac:dyDescent="0.2">
      <c r="D3311" s="148"/>
      <c r="E3311" s="154"/>
    </row>
    <row r="3312" spans="4:5" x14ac:dyDescent="0.2">
      <c r="D3312" s="148"/>
      <c r="E3312" s="154"/>
    </row>
    <row r="3313" spans="4:5" x14ac:dyDescent="0.2">
      <c r="D3313" s="148"/>
      <c r="E3313" s="154"/>
    </row>
    <row r="3314" spans="4:5" x14ac:dyDescent="0.2">
      <c r="D3314" s="148"/>
      <c r="E3314" s="154"/>
    </row>
    <row r="3315" spans="4:5" x14ac:dyDescent="0.2">
      <c r="D3315" s="148"/>
      <c r="E3315" s="154"/>
    </row>
    <row r="3316" spans="4:5" x14ac:dyDescent="0.2">
      <c r="D3316" s="148"/>
      <c r="E3316" s="154"/>
    </row>
    <row r="3317" spans="4:5" x14ac:dyDescent="0.2">
      <c r="D3317" s="148"/>
      <c r="E3317" s="154"/>
    </row>
    <row r="3318" spans="4:5" x14ac:dyDescent="0.2">
      <c r="D3318" s="148"/>
      <c r="E3318" s="154"/>
    </row>
    <row r="3319" spans="4:5" x14ac:dyDescent="0.2">
      <c r="D3319" s="148"/>
      <c r="E3319" s="154"/>
    </row>
    <row r="3320" spans="4:5" x14ac:dyDescent="0.2">
      <c r="D3320" s="148"/>
      <c r="E3320" s="154"/>
    </row>
    <row r="3321" spans="4:5" x14ac:dyDescent="0.2">
      <c r="D3321" s="148"/>
      <c r="E3321" s="154"/>
    </row>
    <row r="3322" spans="4:5" x14ac:dyDescent="0.2">
      <c r="D3322" s="148"/>
      <c r="E3322" s="154"/>
    </row>
    <row r="3323" spans="4:5" x14ac:dyDescent="0.2">
      <c r="D3323" s="148"/>
      <c r="E3323" s="154"/>
    </row>
    <row r="3324" spans="4:5" x14ac:dyDescent="0.2">
      <c r="D3324" s="148"/>
      <c r="E3324" s="154"/>
    </row>
    <row r="3325" spans="4:5" x14ac:dyDescent="0.2">
      <c r="D3325" s="148"/>
      <c r="E3325" s="154"/>
    </row>
    <row r="3326" spans="4:5" x14ac:dyDescent="0.2">
      <c r="D3326" s="148"/>
      <c r="E3326" s="154"/>
    </row>
    <row r="3327" spans="4:5" x14ac:dyDescent="0.2">
      <c r="D3327" s="148"/>
      <c r="E3327" s="154"/>
    </row>
    <row r="3328" spans="4:5" x14ac:dyDescent="0.2">
      <c r="D3328" s="148"/>
      <c r="E3328" s="154"/>
    </row>
    <row r="3329" spans="4:5" x14ac:dyDescent="0.2">
      <c r="D3329" s="148"/>
      <c r="E3329" s="154"/>
    </row>
    <row r="3330" spans="4:5" x14ac:dyDescent="0.2">
      <c r="D3330" s="148"/>
      <c r="E3330" s="154"/>
    </row>
    <row r="3331" spans="4:5" x14ac:dyDescent="0.2">
      <c r="D3331" s="148"/>
      <c r="E3331" s="154"/>
    </row>
    <row r="3332" spans="4:5" x14ac:dyDescent="0.2">
      <c r="D3332" s="148"/>
      <c r="E3332" s="154"/>
    </row>
    <row r="3333" spans="4:5" x14ac:dyDescent="0.2">
      <c r="D3333" s="148"/>
      <c r="E3333" s="154"/>
    </row>
    <row r="3334" spans="4:5" x14ac:dyDescent="0.2">
      <c r="D3334" s="148"/>
      <c r="E3334" s="154"/>
    </row>
    <row r="3335" spans="4:5" x14ac:dyDescent="0.2">
      <c r="D3335" s="148"/>
      <c r="E3335" s="154"/>
    </row>
    <row r="3336" spans="4:5" x14ac:dyDescent="0.2">
      <c r="D3336" s="148"/>
      <c r="E3336" s="154"/>
    </row>
    <row r="3337" spans="4:5" x14ac:dyDescent="0.2">
      <c r="D3337" s="148"/>
      <c r="E3337" s="154"/>
    </row>
    <row r="3338" spans="4:5" x14ac:dyDescent="0.2">
      <c r="D3338" s="148"/>
      <c r="E3338" s="154"/>
    </row>
    <row r="3339" spans="4:5" x14ac:dyDescent="0.2">
      <c r="D3339" s="148"/>
      <c r="E3339" s="154"/>
    </row>
    <row r="3340" spans="4:5" x14ac:dyDescent="0.2">
      <c r="D3340" s="148"/>
      <c r="E3340" s="154"/>
    </row>
    <row r="3341" spans="4:5" x14ac:dyDescent="0.2">
      <c r="D3341" s="148"/>
      <c r="E3341" s="154"/>
    </row>
    <row r="3342" spans="4:5" x14ac:dyDescent="0.2">
      <c r="D3342" s="148"/>
      <c r="E3342" s="154"/>
    </row>
    <row r="3343" spans="4:5" x14ac:dyDescent="0.2">
      <c r="D3343" s="148"/>
      <c r="E3343" s="154"/>
    </row>
    <row r="3344" spans="4:5" x14ac:dyDescent="0.2">
      <c r="D3344" s="148"/>
      <c r="E3344" s="154"/>
    </row>
    <row r="3345" spans="4:5" x14ac:dyDescent="0.2">
      <c r="D3345" s="148"/>
      <c r="E3345" s="154"/>
    </row>
    <row r="3346" spans="4:5" x14ac:dyDescent="0.2">
      <c r="D3346" s="148"/>
      <c r="E3346" s="154"/>
    </row>
    <row r="3347" spans="4:5" x14ac:dyDescent="0.2">
      <c r="D3347" s="148"/>
      <c r="E3347" s="154"/>
    </row>
    <row r="3348" spans="4:5" x14ac:dyDescent="0.2">
      <c r="D3348" s="148"/>
      <c r="E3348" s="154"/>
    </row>
    <row r="3349" spans="4:5" x14ac:dyDescent="0.2">
      <c r="D3349" s="148"/>
      <c r="E3349" s="154"/>
    </row>
    <row r="3350" spans="4:5" x14ac:dyDescent="0.2">
      <c r="D3350" s="148"/>
      <c r="E3350" s="154"/>
    </row>
    <row r="3351" spans="4:5" x14ac:dyDescent="0.2">
      <c r="D3351" s="148"/>
      <c r="E3351" s="154"/>
    </row>
    <row r="3352" spans="4:5" x14ac:dyDescent="0.2">
      <c r="D3352" s="148"/>
      <c r="E3352" s="154"/>
    </row>
    <row r="3353" spans="4:5" x14ac:dyDescent="0.2">
      <c r="D3353" s="148"/>
      <c r="E3353" s="154"/>
    </row>
    <row r="3354" spans="4:5" x14ac:dyDescent="0.2">
      <c r="D3354" s="148"/>
      <c r="E3354" s="154"/>
    </row>
    <row r="3355" spans="4:5" x14ac:dyDescent="0.2">
      <c r="D3355" s="148"/>
      <c r="E3355" s="154"/>
    </row>
    <row r="3356" spans="4:5" x14ac:dyDescent="0.2">
      <c r="D3356" s="148"/>
      <c r="E3356" s="154"/>
    </row>
    <row r="3357" spans="4:5" x14ac:dyDescent="0.2">
      <c r="D3357" s="148"/>
      <c r="E3357" s="154"/>
    </row>
    <row r="3358" spans="4:5" x14ac:dyDescent="0.2">
      <c r="D3358" s="148"/>
      <c r="E3358" s="154"/>
    </row>
    <row r="3359" spans="4:5" x14ac:dyDescent="0.2">
      <c r="D3359" s="148"/>
      <c r="E3359" s="154"/>
    </row>
    <row r="3360" spans="4:5" x14ac:dyDescent="0.2">
      <c r="D3360" s="148"/>
      <c r="E3360" s="154"/>
    </row>
    <row r="3361" spans="4:5" x14ac:dyDescent="0.2">
      <c r="D3361" s="148"/>
      <c r="E3361" s="154"/>
    </row>
    <row r="3362" spans="4:5" x14ac:dyDescent="0.2">
      <c r="D3362" s="148"/>
      <c r="E3362" s="154"/>
    </row>
    <row r="3363" spans="4:5" x14ac:dyDescent="0.2">
      <c r="D3363" s="148"/>
      <c r="E3363" s="154"/>
    </row>
    <row r="3364" spans="4:5" x14ac:dyDescent="0.2">
      <c r="D3364" s="148"/>
      <c r="E3364" s="154"/>
    </row>
    <row r="3365" spans="4:5" x14ac:dyDescent="0.2">
      <c r="D3365" s="148"/>
      <c r="E3365" s="154"/>
    </row>
    <row r="3366" spans="4:5" x14ac:dyDescent="0.2">
      <c r="D3366" s="148"/>
      <c r="E3366" s="154"/>
    </row>
    <row r="3367" spans="4:5" x14ac:dyDescent="0.2">
      <c r="D3367" s="148"/>
      <c r="E3367" s="154"/>
    </row>
    <row r="3368" spans="4:5" x14ac:dyDescent="0.2">
      <c r="D3368" s="148"/>
      <c r="E3368" s="154"/>
    </row>
    <row r="3369" spans="4:5" x14ac:dyDescent="0.2">
      <c r="D3369" s="148"/>
      <c r="E3369" s="154"/>
    </row>
    <row r="3370" spans="4:5" x14ac:dyDescent="0.2">
      <c r="D3370" s="148"/>
      <c r="E3370" s="154"/>
    </row>
    <row r="3371" spans="4:5" x14ac:dyDescent="0.2">
      <c r="D3371" s="148"/>
      <c r="E3371" s="154"/>
    </row>
    <row r="3372" spans="4:5" x14ac:dyDescent="0.2">
      <c r="D3372" s="148"/>
      <c r="E3372" s="154"/>
    </row>
    <row r="3373" spans="4:5" x14ac:dyDescent="0.2">
      <c r="D3373" s="148"/>
      <c r="E3373" s="154"/>
    </row>
    <row r="3374" spans="4:5" x14ac:dyDescent="0.2">
      <c r="D3374" s="148"/>
      <c r="E3374" s="154"/>
    </row>
    <row r="3375" spans="4:5" x14ac:dyDescent="0.2">
      <c r="D3375" s="148"/>
      <c r="E3375" s="154"/>
    </row>
    <row r="3376" spans="4:5" x14ac:dyDescent="0.2">
      <c r="D3376" s="148"/>
      <c r="E3376" s="154"/>
    </row>
    <row r="3377" spans="4:5" x14ac:dyDescent="0.2">
      <c r="D3377" s="148"/>
      <c r="E3377" s="154"/>
    </row>
    <row r="3378" spans="4:5" x14ac:dyDescent="0.2">
      <c r="D3378" s="148"/>
      <c r="E3378" s="154"/>
    </row>
    <row r="3379" spans="4:5" x14ac:dyDescent="0.2">
      <c r="D3379" s="148"/>
      <c r="E3379" s="154"/>
    </row>
    <row r="3380" spans="4:5" x14ac:dyDescent="0.2">
      <c r="D3380" s="148"/>
      <c r="E3380" s="154"/>
    </row>
    <row r="3381" spans="4:5" x14ac:dyDescent="0.2">
      <c r="D3381" s="148"/>
      <c r="E3381" s="154"/>
    </row>
    <row r="3382" spans="4:5" x14ac:dyDescent="0.2">
      <c r="D3382" s="148"/>
      <c r="E3382" s="154"/>
    </row>
    <row r="3383" spans="4:5" x14ac:dyDescent="0.2">
      <c r="D3383" s="148"/>
      <c r="E3383" s="154"/>
    </row>
    <row r="3384" spans="4:5" x14ac:dyDescent="0.2">
      <c r="D3384" s="148"/>
      <c r="E3384" s="154"/>
    </row>
    <row r="3385" spans="4:5" x14ac:dyDescent="0.2">
      <c r="D3385" s="148"/>
      <c r="E3385" s="154"/>
    </row>
    <row r="3386" spans="4:5" x14ac:dyDescent="0.2">
      <c r="D3386" s="148"/>
      <c r="E3386" s="154"/>
    </row>
    <row r="3387" spans="4:5" x14ac:dyDescent="0.2">
      <c r="D3387" s="148"/>
      <c r="E3387" s="154"/>
    </row>
    <row r="3388" spans="4:5" x14ac:dyDescent="0.2">
      <c r="D3388" s="148"/>
      <c r="E3388" s="154"/>
    </row>
    <row r="3389" spans="4:5" x14ac:dyDescent="0.2">
      <c r="D3389" s="148"/>
      <c r="E3389" s="154"/>
    </row>
    <row r="3390" spans="4:5" x14ac:dyDescent="0.2">
      <c r="D3390" s="148"/>
      <c r="E3390" s="154"/>
    </row>
    <row r="3391" spans="4:5" x14ac:dyDescent="0.2">
      <c r="D3391" s="148"/>
      <c r="E3391" s="154"/>
    </row>
    <row r="3392" spans="4:5" x14ac:dyDescent="0.2">
      <c r="D3392" s="148"/>
      <c r="E3392" s="154"/>
    </row>
    <row r="3393" spans="4:5" x14ac:dyDescent="0.2">
      <c r="D3393" s="148"/>
      <c r="E3393" s="154"/>
    </row>
    <row r="3394" spans="4:5" x14ac:dyDescent="0.2">
      <c r="D3394" s="148"/>
      <c r="E3394" s="154"/>
    </row>
    <row r="3395" spans="4:5" x14ac:dyDescent="0.2">
      <c r="D3395" s="148"/>
      <c r="E3395" s="154"/>
    </row>
    <row r="3396" spans="4:5" x14ac:dyDescent="0.2">
      <c r="D3396" s="148"/>
      <c r="E3396" s="154"/>
    </row>
    <row r="3397" spans="4:5" x14ac:dyDescent="0.2">
      <c r="D3397" s="148"/>
      <c r="E3397" s="154"/>
    </row>
    <row r="3398" spans="4:5" x14ac:dyDescent="0.2">
      <c r="D3398" s="148"/>
      <c r="E3398" s="154"/>
    </row>
    <row r="3399" spans="4:5" x14ac:dyDescent="0.2">
      <c r="D3399" s="148"/>
      <c r="E3399" s="154"/>
    </row>
    <row r="3400" spans="4:5" x14ac:dyDescent="0.2">
      <c r="D3400" s="148"/>
      <c r="E3400" s="154"/>
    </row>
    <row r="3401" spans="4:5" x14ac:dyDescent="0.2">
      <c r="D3401" s="148"/>
      <c r="E3401" s="154"/>
    </row>
    <row r="3402" spans="4:5" x14ac:dyDescent="0.2">
      <c r="D3402" s="148"/>
      <c r="E3402" s="154"/>
    </row>
    <row r="3403" spans="4:5" x14ac:dyDescent="0.2">
      <c r="D3403" s="148"/>
      <c r="E3403" s="154"/>
    </row>
    <row r="3404" spans="4:5" x14ac:dyDescent="0.2">
      <c r="D3404" s="148"/>
      <c r="E3404" s="154"/>
    </row>
    <row r="3405" spans="4:5" x14ac:dyDescent="0.2">
      <c r="D3405" s="148"/>
      <c r="E3405" s="154"/>
    </row>
    <row r="3406" spans="4:5" x14ac:dyDescent="0.2">
      <c r="D3406" s="148"/>
      <c r="E3406" s="154"/>
    </row>
    <row r="3407" spans="4:5" x14ac:dyDescent="0.2">
      <c r="D3407" s="148"/>
      <c r="E3407" s="154"/>
    </row>
    <row r="3408" spans="4:5" x14ac:dyDescent="0.2">
      <c r="D3408" s="148"/>
      <c r="E3408" s="154"/>
    </row>
    <row r="3409" spans="4:5" x14ac:dyDescent="0.2">
      <c r="D3409" s="148"/>
      <c r="E3409" s="154"/>
    </row>
    <row r="3410" spans="4:5" x14ac:dyDescent="0.2">
      <c r="D3410" s="148"/>
      <c r="E3410" s="154"/>
    </row>
    <row r="3411" spans="4:5" x14ac:dyDescent="0.2">
      <c r="D3411" s="148"/>
      <c r="E3411" s="154"/>
    </row>
    <row r="3412" spans="4:5" x14ac:dyDescent="0.2">
      <c r="D3412" s="148"/>
      <c r="E3412" s="154"/>
    </row>
    <row r="3413" spans="4:5" x14ac:dyDescent="0.2">
      <c r="D3413" s="148"/>
      <c r="E3413" s="154"/>
    </row>
    <row r="3414" spans="4:5" x14ac:dyDescent="0.2">
      <c r="D3414" s="148"/>
      <c r="E3414" s="154"/>
    </row>
    <row r="3415" spans="4:5" x14ac:dyDescent="0.2">
      <c r="D3415" s="148"/>
      <c r="E3415" s="154"/>
    </row>
    <row r="3416" spans="4:5" x14ac:dyDescent="0.2">
      <c r="D3416" s="148"/>
      <c r="E3416" s="154"/>
    </row>
    <row r="3417" spans="4:5" x14ac:dyDescent="0.2">
      <c r="D3417" s="148"/>
      <c r="E3417" s="154"/>
    </row>
    <row r="3418" spans="4:5" x14ac:dyDescent="0.2">
      <c r="D3418" s="148"/>
      <c r="E3418" s="154"/>
    </row>
    <row r="3419" spans="4:5" x14ac:dyDescent="0.2">
      <c r="D3419" s="148"/>
      <c r="E3419" s="154"/>
    </row>
    <row r="3420" spans="4:5" x14ac:dyDescent="0.2">
      <c r="D3420" s="148"/>
      <c r="E3420" s="154"/>
    </row>
    <row r="3421" spans="4:5" x14ac:dyDescent="0.2">
      <c r="D3421" s="148"/>
      <c r="E3421" s="154"/>
    </row>
    <row r="3422" spans="4:5" x14ac:dyDescent="0.2">
      <c r="D3422" s="148"/>
      <c r="E3422" s="154"/>
    </row>
    <row r="3423" spans="4:5" x14ac:dyDescent="0.2">
      <c r="D3423" s="148"/>
      <c r="E3423" s="154"/>
    </row>
    <row r="3424" spans="4:5" x14ac:dyDescent="0.2">
      <c r="D3424" s="148"/>
      <c r="E3424" s="154"/>
    </row>
    <row r="3425" spans="4:5" x14ac:dyDescent="0.2">
      <c r="D3425" s="148"/>
      <c r="E3425" s="154"/>
    </row>
    <row r="3426" spans="4:5" x14ac:dyDescent="0.2">
      <c r="D3426" s="148"/>
      <c r="E3426" s="154"/>
    </row>
    <row r="3427" spans="4:5" x14ac:dyDescent="0.2">
      <c r="D3427" s="148"/>
      <c r="E3427" s="154"/>
    </row>
    <row r="3428" spans="4:5" x14ac:dyDescent="0.2">
      <c r="D3428" s="148"/>
      <c r="E3428" s="154"/>
    </row>
    <row r="3429" spans="4:5" x14ac:dyDescent="0.2">
      <c r="D3429" s="148"/>
      <c r="E3429" s="154"/>
    </row>
    <row r="3430" spans="4:5" x14ac:dyDescent="0.2">
      <c r="D3430" s="148"/>
      <c r="E3430" s="154"/>
    </row>
    <row r="3431" spans="4:5" x14ac:dyDescent="0.2">
      <c r="D3431" s="148"/>
      <c r="E3431" s="154"/>
    </row>
    <row r="3432" spans="4:5" x14ac:dyDescent="0.2">
      <c r="D3432" s="148"/>
      <c r="E3432" s="154"/>
    </row>
    <row r="3433" spans="4:5" x14ac:dyDescent="0.2">
      <c r="D3433" s="148"/>
      <c r="E3433" s="154"/>
    </row>
    <row r="3434" spans="4:5" x14ac:dyDescent="0.2">
      <c r="D3434" s="148"/>
      <c r="E3434" s="154"/>
    </row>
    <row r="3435" spans="4:5" x14ac:dyDescent="0.2">
      <c r="D3435" s="148"/>
      <c r="E3435" s="154"/>
    </row>
    <row r="3436" spans="4:5" x14ac:dyDescent="0.2">
      <c r="D3436" s="148"/>
      <c r="E3436" s="154"/>
    </row>
    <row r="3437" spans="4:5" x14ac:dyDescent="0.2">
      <c r="D3437" s="148"/>
      <c r="E3437" s="154"/>
    </row>
    <row r="3438" spans="4:5" x14ac:dyDescent="0.2">
      <c r="D3438" s="148"/>
      <c r="E3438" s="154"/>
    </row>
    <row r="3439" spans="4:5" x14ac:dyDescent="0.2">
      <c r="D3439" s="148"/>
      <c r="E3439" s="154"/>
    </row>
    <row r="3440" spans="4:5" x14ac:dyDescent="0.2">
      <c r="D3440" s="148"/>
      <c r="E3440" s="154"/>
    </row>
    <row r="3441" spans="4:5" x14ac:dyDescent="0.2">
      <c r="D3441" s="148"/>
      <c r="E3441" s="154"/>
    </row>
    <row r="3442" spans="4:5" x14ac:dyDescent="0.2">
      <c r="D3442" s="148"/>
      <c r="E3442" s="154"/>
    </row>
    <row r="3443" spans="4:5" x14ac:dyDescent="0.2">
      <c r="D3443" s="148"/>
      <c r="E3443" s="154"/>
    </row>
    <row r="3444" spans="4:5" x14ac:dyDescent="0.2">
      <c r="D3444" s="148"/>
      <c r="E3444" s="154"/>
    </row>
    <row r="3445" spans="4:5" x14ac:dyDescent="0.2">
      <c r="D3445" s="148"/>
      <c r="E3445" s="154"/>
    </row>
    <row r="3446" spans="4:5" x14ac:dyDescent="0.2">
      <c r="D3446" s="148"/>
      <c r="E3446" s="154"/>
    </row>
    <row r="3447" spans="4:5" x14ac:dyDescent="0.2">
      <c r="D3447" s="148"/>
      <c r="E3447" s="154"/>
    </row>
    <row r="3448" spans="4:5" x14ac:dyDescent="0.2">
      <c r="D3448" s="148"/>
      <c r="E3448" s="154"/>
    </row>
    <row r="3449" spans="4:5" x14ac:dyDescent="0.2">
      <c r="D3449" s="148"/>
      <c r="E3449" s="154"/>
    </row>
    <row r="3450" spans="4:5" x14ac:dyDescent="0.2">
      <c r="D3450" s="148"/>
      <c r="E3450" s="154"/>
    </row>
    <row r="3451" spans="4:5" x14ac:dyDescent="0.2">
      <c r="D3451" s="148"/>
      <c r="E3451" s="154"/>
    </row>
    <row r="3452" spans="4:5" x14ac:dyDescent="0.2">
      <c r="D3452" s="148"/>
      <c r="E3452" s="154"/>
    </row>
    <row r="3453" spans="4:5" x14ac:dyDescent="0.2">
      <c r="D3453" s="148"/>
      <c r="E3453" s="154"/>
    </row>
    <row r="3454" spans="4:5" x14ac:dyDescent="0.2">
      <c r="D3454" s="148"/>
      <c r="E3454" s="154"/>
    </row>
    <row r="3455" spans="4:5" x14ac:dyDescent="0.2">
      <c r="D3455" s="148"/>
      <c r="E3455" s="154"/>
    </row>
    <row r="3456" spans="4:5" x14ac:dyDescent="0.2">
      <c r="D3456" s="148"/>
      <c r="E3456" s="154"/>
    </row>
    <row r="3457" spans="4:5" x14ac:dyDescent="0.2">
      <c r="D3457" s="148"/>
      <c r="E3457" s="154"/>
    </row>
    <row r="3458" spans="4:5" x14ac:dyDescent="0.2">
      <c r="D3458" s="148"/>
      <c r="E3458" s="154"/>
    </row>
    <row r="3459" spans="4:5" x14ac:dyDescent="0.2">
      <c r="D3459" s="148"/>
      <c r="E3459" s="154"/>
    </row>
    <row r="3460" spans="4:5" x14ac:dyDescent="0.2">
      <c r="D3460" s="148"/>
      <c r="E3460" s="154"/>
    </row>
    <row r="3461" spans="4:5" x14ac:dyDescent="0.2">
      <c r="D3461" s="148"/>
      <c r="E3461" s="154"/>
    </row>
    <row r="3462" spans="4:5" x14ac:dyDescent="0.2">
      <c r="D3462" s="148"/>
      <c r="E3462" s="154"/>
    </row>
    <row r="3463" spans="4:5" x14ac:dyDescent="0.2">
      <c r="D3463" s="148"/>
      <c r="E3463" s="154"/>
    </row>
    <row r="3464" spans="4:5" x14ac:dyDescent="0.2">
      <c r="D3464" s="148"/>
      <c r="E3464" s="154"/>
    </row>
    <row r="3465" spans="4:5" x14ac:dyDescent="0.2">
      <c r="D3465" s="148"/>
      <c r="E3465" s="154"/>
    </row>
    <row r="3466" spans="4:5" x14ac:dyDescent="0.2">
      <c r="D3466" s="148"/>
      <c r="E3466" s="154"/>
    </row>
    <row r="3467" spans="4:5" x14ac:dyDescent="0.2">
      <c r="D3467" s="148"/>
      <c r="E3467" s="154"/>
    </row>
    <row r="3468" spans="4:5" x14ac:dyDescent="0.2">
      <c r="D3468" s="148"/>
      <c r="E3468" s="154"/>
    </row>
    <row r="3469" spans="4:5" x14ac:dyDescent="0.2">
      <c r="D3469" s="148"/>
      <c r="E3469" s="154"/>
    </row>
    <row r="3470" spans="4:5" x14ac:dyDescent="0.2">
      <c r="D3470" s="148"/>
      <c r="E3470" s="154"/>
    </row>
    <row r="3471" spans="4:5" x14ac:dyDescent="0.2">
      <c r="D3471" s="148"/>
      <c r="E3471" s="154"/>
    </row>
    <row r="3472" spans="4:5" x14ac:dyDescent="0.2">
      <c r="D3472" s="148"/>
      <c r="E3472" s="154"/>
    </row>
    <row r="3473" spans="4:5" x14ac:dyDescent="0.2">
      <c r="D3473" s="148"/>
      <c r="E3473" s="154"/>
    </row>
    <row r="3474" spans="4:5" x14ac:dyDescent="0.2">
      <c r="D3474" s="148"/>
      <c r="E3474" s="154"/>
    </row>
    <row r="3475" spans="4:5" x14ac:dyDescent="0.2">
      <c r="D3475" s="148"/>
      <c r="E3475" s="154"/>
    </row>
    <row r="3476" spans="4:5" x14ac:dyDescent="0.2">
      <c r="D3476" s="148"/>
      <c r="E3476" s="154"/>
    </row>
    <row r="3477" spans="4:5" x14ac:dyDescent="0.2">
      <c r="D3477" s="148"/>
      <c r="E3477" s="154"/>
    </row>
    <row r="3478" spans="4:5" x14ac:dyDescent="0.2">
      <c r="D3478" s="148"/>
      <c r="E3478" s="154"/>
    </row>
    <row r="3479" spans="4:5" x14ac:dyDescent="0.2">
      <c r="D3479" s="148"/>
      <c r="E3479" s="154"/>
    </row>
    <row r="3480" spans="4:5" x14ac:dyDescent="0.2">
      <c r="D3480" s="148"/>
      <c r="E3480" s="154"/>
    </row>
    <row r="3481" spans="4:5" x14ac:dyDescent="0.2">
      <c r="D3481" s="148"/>
      <c r="E3481" s="154"/>
    </row>
    <row r="3482" spans="4:5" x14ac:dyDescent="0.2">
      <c r="D3482" s="148"/>
      <c r="E3482" s="154"/>
    </row>
    <row r="3483" spans="4:5" x14ac:dyDescent="0.2">
      <c r="D3483" s="148"/>
      <c r="E3483" s="154"/>
    </row>
    <row r="3484" spans="4:5" x14ac:dyDescent="0.2">
      <c r="D3484" s="148"/>
      <c r="E3484" s="154"/>
    </row>
    <row r="3485" spans="4:5" x14ac:dyDescent="0.2">
      <c r="D3485" s="148"/>
      <c r="E3485" s="154"/>
    </row>
    <row r="3486" spans="4:5" x14ac:dyDescent="0.2">
      <c r="D3486" s="148"/>
      <c r="E3486" s="154"/>
    </row>
    <row r="3487" spans="4:5" x14ac:dyDescent="0.2">
      <c r="D3487" s="148"/>
      <c r="E3487" s="154"/>
    </row>
    <row r="3488" spans="4:5" x14ac:dyDescent="0.2">
      <c r="D3488" s="148"/>
      <c r="E3488" s="154"/>
    </row>
    <row r="3489" spans="4:5" x14ac:dyDescent="0.2">
      <c r="D3489" s="148"/>
      <c r="E3489" s="154"/>
    </row>
    <row r="3490" spans="4:5" x14ac:dyDescent="0.2">
      <c r="D3490" s="148"/>
      <c r="E3490" s="154"/>
    </row>
    <row r="3491" spans="4:5" x14ac:dyDescent="0.2">
      <c r="D3491" s="148"/>
      <c r="E3491" s="154"/>
    </row>
    <row r="3492" spans="4:5" x14ac:dyDescent="0.2">
      <c r="D3492" s="148"/>
      <c r="E3492" s="154"/>
    </row>
    <row r="3493" spans="4:5" x14ac:dyDescent="0.2">
      <c r="D3493" s="148"/>
      <c r="E3493" s="154"/>
    </row>
    <row r="3494" spans="4:5" x14ac:dyDescent="0.2">
      <c r="D3494" s="148"/>
      <c r="E3494" s="154"/>
    </row>
    <row r="3495" spans="4:5" x14ac:dyDescent="0.2">
      <c r="D3495" s="148"/>
      <c r="E3495" s="154"/>
    </row>
    <row r="3496" spans="4:5" x14ac:dyDescent="0.2">
      <c r="D3496" s="148"/>
      <c r="E3496" s="154"/>
    </row>
    <row r="3497" spans="4:5" x14ac:dyDescent="0.2">
      <c r="D3497" s="148"/>
      <c r="E3497" s="154"/>
    </row>
    <row r="3498" spans="4:5" x14ac:dyDescent="0.2">
      <c r="D3498" s="148"/>
      <c r="E3498" s="154"/>
    </row>
    <row r="3499" spans="4:5" x14ac:dyDescent="0.2">
      <c r="D3499" s="148"/>
      <c r="E3499" s="154"/>
    </row>
    <row r="3500" spans="4:5" x14ac:dyDescent="0.2">
      <c r="D3500" s="148"/>
      <c r="E3500" s="154"/>
    </row>
    <row r="3501" spans="4:5" x14ac:dyDescent="0.2">
      <c r="D3501" s="148"/>
      <c r="E3501" s="154"/>
    </row>
    <row r="3502" spans="4:5" x14ac:dyDescent="0.2">
      <c r="D3502" s="148"/>
      <c r="E3502" s="154"/>
    </row>
    <row r="3503" spans="4:5" x14ac:dyDescent="0.2">
      <c r="D3503" s="148"/>
      <c r="E3503" s="154"/>
    </row>
    <row r="3504" spans="4:5" x14ac:dyDescent="0.2">
      <c r="D3504" s="148"/>
      <c r="E3504" s="154"/>
    </row>
    <row r="3505" spans="4:5" x14ac:dyDescent="0.2">
      <c r="D3505" s="148"/>
      <c r="E3505" s="154"/>
    </row>
    <row r="3506" spans="4:5" x14ac:dyDescent="0.2">
      <c r="D3506" s="148"/>
      <c r="E3506" s="154"/>
    </row>
    <row r="3507" spans="4:5" x14ac:dyDescent="0.2">
      <c r="D3507" s="148"/>
      <c r="E3507" s="154"/>
    </row>
    <row r="3508" spans="4:5" x14ac:dyDescent="0.2">
      <c r="D3508" s="148"/>
      <c r="E3508" s="154"/>
    </row>
    <row r="3509" spans="4:5" x14ac:dyDescent="0.2">
      <c r="D3509" s="148"/>
      <c r="E3509" s="154"/>
    </row>
    <row r="3510" spans="4:5" x14ac:dyDescent="0.2">
      <c r="D3510" s="148"/>
      <c r="E3510" s="154"/>
    </row>
    <row r="3511" spans="4:5" x14ac:dyDescent="0.2">
      <c r="D3511" s="148"/>
      <c r="E3511" s="154"/>
    </row>
    <row r="3512" spans="4:5" x14ac:dyDescent="0.2">
      <c r="D3512" s="148"/>
      <c r="E3512" s="154"/>
    </row>
    <row r="3513" spans="4:5" x14ac:dyDescent="0.2">
      <c r="D3513" s="148"/>
      <c r="E3513" s="154"/>
    </row>
    <row r="3514" spans="4:5" x14ac:dyDescent="0.2">
      <c r="D3514" s="148"/>
      <c r="E3514" s="154"/>
    </row>
    <row r="3515" spans="4:5" x14ac:dyDescent="0.2">
      <c r="D3515" s="148"/>
      <c r="E3515" s="154"/>
    </row>
    <row r="3516" spans="4:5" x14ac:dyDescent="0.2">
      <c r="D3516" s="148"/>
      <c r="E3516" s="154"/>
    </row>
    <row r="3517" spans="4:5" x14ac:dyDescent="0.2">
      <c r="D3517" s="148"/>
      <c r="E3517" s="154"/>
    </row>
    <row r="3518" spans="4:5" x14ac:dyDescent="0.2">
      <c r="D3518" s="148"/>
      <c r="E3518" s="154"/>
    </row>
    <row r="3519" spans="4:5" x14ac:dyDescent="0.2">
      <c r="D3519" s="148"/>
      <c r="E3519" s="154"/>
    </row>
    <row r="3520" spans="4:5" x14ac:dyDescent="0.2">
      <c r="D3520" s="148"/>
      <c r="E3520" s="154"/>
    </row>
    <row r="3521" spans="4:5" x14ac:dyDescent="0.2">
      <c r="D3521" s="148"/>
      <c r="E3521" s="154"/>
    </row>
    <row r="3522" spans="4:5" x14ac:dyDescent="0.2">
      <c r="D3522" s="148"/>
      <c r="E3522" s="154"/>
    </row>
    <row r="3523" spans="4:5" x14ac:dyDescent="0.2">
      <c r="D3523" s="148"/>
      <c r="E3523" s="154"/>
    </row>
    <row r="3524" spans="4:5" x14ac:dyDescent="0.2">
      <c r="D3524" s="148"/>
      <c r="E3524" s="154"/>
    </row>
    <row r="3525" spans="4:5" x14ac:dyDescent="0.2">
      <c r="D3525" s="148"/>
      <c r="E3525" s="154"/>
    </row>
    <row r="3526" spans="4:5" x14ac:dyDescent="0.2">
      <c r="D3526" s="148"/>
      <c r="E3526" s="154"/>
    </row>
    <row r="3527" spans="4:5" x14ac:dyDescent="0.2">
      <c r="D3527" s="148"/>
      <c r="E3527" s="154"/>
    </row>
    <row r="3528" spans="4:5" x14ac:dyDescent="0.2">
      <c r="D3528" s="148"/>
      <c r="E3528" s="154"/>
    </row>
    <row r="3529" spans="4:5" x14ac:dyDescent="0.2">
      <c r="D3529" s="148"/>
      <c r="E3529" s="154"/>
    </row>
    <row r="3530" spans="4:5" x14ac:dyDescent="0.2">
      <c r="D3530" s="148"/>
      <c r="E3530" s="154"/>
    </row>
    <row r="3531" spans="4:5" x14ac:dyDescent="0.2">
      <c r="D3531" s="148"/>
      <c r="E3531" s="154"/>
    </row>
    <row r="3532" spans="4:5" x14ac:dyDescent="0.2">
      <c r="D3532" s="148"/>
      <c r="E3532" s="154"/>
    </row>
    <row r="3533" spans="4:5" x14ac:dyDescent="0.2">
      <c r="D3533" s="148"/>
      <c r="E3533" s="154"/>
    </row>
    <row r="3534" spans="4:5" x14ac:dyDescent="0.2">
      <c r="D3534" s="148"/>
      <c r="E3534" s="154"/>
    </row>
    <row r="3535" spans="4:5" x14ac:dyDescent="0.2">
      <c r="D3535" s="148"/>
      <c r="E3535" s="154"/>
    </row>
    <row r="3536" spans="4:5" x14ac:dyDescent="0.2">
      <c r="D3536" s="148"/>
      <c r="E3536" s="154"/>
    </row>
    <row r="3537" spans="4:5" x14ac:dyDescent="0.2">
      <c r="D3537" s="148"/>
      <c r="E3537" s="154"/>
    </row>
    <row r="3538" spans="4:5" x14ac:dyDescent="0.2">
      <c r="D3538" s="148"/>
      <c r="E3538" s="154"/>
    </row>
    <row r="3539" spans="4:5" x14ac:dyDescent="0.2">
      <c r="D3539" s="148"/>
      <c r="E3539" s="154"/>
    </row>
    <row r="3540" spans="4:5" x14ac:dyDescent="0.2">
      <c r="D3540" s="148"/>
      <c r="E3540" s="154"/>
    </row>
    <row r="3541" spans="4:5" x14ac:dyDescent="0.2">
      <c r="D3541" s="148"/>
      <c r="E3541" s="154"/>
    </row>
    <row r="3542" spans="4:5" x14ac:dyDescent="0.2">
      <c r="D3542" s="148"/>
      <c r="E3542" s="154"/>
    </row>
    <row r="3543" spans="4:5" x14ac:dyDescent="0.2">
      <c r="D3543" s="148"/>
      <c r="E3543" s="154"/>
    </row>
    <row r="3544" spans="4:5" x14ac:dyDescent="0.2">
      <c r="D3544" s="148"/>
      <c r="E3544" s="154"/>
    </row>
    <row r="3545" spans="4:5" x14ac:dyDescent="0.2">
      <c r="D3545" s="148"/>
      <c r="E3545" s="154"/>
    </row>
    <row r="3546" spans="4:5" x14ac:dyDescent="0.2">
      <c r="D3546" s="148"/>
      <c r="E3546" s="154"/>
    </row>
    <row r="3547" spans="4:5" x14ac:dyDescent="0.2">
      <c r="D3547" s="148"/>
      <c r="E3547" s="154"/>
    </row>
    <row r="3548" spans="4:5" x14ac:dyDescent="0.2">
      <c r="D3548" s="148"/>
      <c r="E3548" s="154"/>
    </row>
    <row r="3549" spans="4:5" x14ac:dyDescent="0.2">
      <c r="D3549" s="148"/>
      <c r="E3549" s="154"/>
    </row>
    <row r="3550" spans="4:5" x14ac:dyDescent="0.2">
      <c r="D3550" s="148"/>
      <c r="E3550" s="154"/>
    </row>
    <row r="3551" spans="4:5" x14ac:dyDescent="0.2">
      <c r="D3551" s="148"/>
      <c r="E3551" s="154"/>
    </row>
    <row r="3552" spans="4:5" x14ac:dyDescent="0.2">
      <c r="D3552" s="148"/>
      <c r="E3552" s="154"/>
    </row>
    <row r="3553" spans="4:5" x14ac:dyDescent="0.2">
      <c r="D3553" s="148"/>
      <c r="E3553" s="154"/>
    </row>
    <row r="3554" spans="4:5" x14ac:dyDescent="0.2">
      <c r="D3554" s="148"/>
      <c r="E3554" s="154"/>
    </row>
    <row r="3555" spans="4:5" x14ac:dyDescent="0.2">
      <c r="D3555" s="148"/>
      <c r="E3555" s="154"/>
    </row>
    <row r="3556" spans="4:5" x14ac:dyDescent="0.2">
      <c r="D3556" s="148"/>
      <c r="E3556" s="154"/>
    </row>
    <row r="3557" spans="4:5" x14ac:dyDescent="0.2">
      <c r="D3557" s="148"/>
      <c r="E3557" s="154"/>
    </row>
    <row r="3558" spans="4:5" x14ac:dyDescent="0.2">
      <c r="D3558" s="148"/>
      <c r="E3558" s="154"/>
    </row>
    <row r="3559" spans="4:5" x14ac:dyDescent="0.2">
      <c r="D3559" s="148"/>
      <c r="E3559" s="154"/>
    </row>
    <row r="3560" spans="4:5" x14ac:dyDescent="0.2">
      <c r="D3560" s="148"/>
      <c r="E3560" s="154"/>
    </row>
    <row r="3561" spans="4:5" x14ac:dyDescent="0.2">
      <c r="D3561" s="148"/>
      <c r="E3561" s="154"/>
    </row>
    <row r="3562" spans="4:5" x14ac:dyDescent="0.2">
      <c r="D3562" s="148"/>
      <c r="E3562" s="154"/>
    </row>
    <row r="3563" spans="4:5" x14ac:dyDescent="0.2">
      <c r="D3563" s="148"/>
      <c r="E3563" s="154"/>
    </row>
    <row r="3564" spans="4:5" x14ac:dyDescent="0.2">
      <c r="D3564" s="148"/>
      <c r="E3564" s="154"/>
    </row>
    <row r="3565" spans="4:5" x14ac:dyDescent="0.2">
      <c r="D3565" s="148"/>
      <c r="E3565" s="154"/>
    </row>
    <row r="3566" spans="4:5" x14ac:dyDescent="0.2">
      <c r="D3566" s="148"/>
      <c r="E3566" s="154"/>
    </row>
    <row r="3567" spans="4:5" x14ac:dyDescent="0.2">
      <c r="D3567" s="148"/>
      <c r="E3567" s="154"/>
    </row>
    <row r="3568" spans="4:5" x14ac:dyDescent="0.2">
      <c r="D3568" s="148"/>
      <c r="E3568" s="154"/>
    </row>
    <row r="3569" spans="4:5" x14ac:dyDescent="0.2">
      <c r="D3569" s="148"/>
      <c r="E3569" s="154"/>
    </row>
    <row r="3570" spans="4:5" x14ac:dyDescent="0.2">
      <c r="D3570" s="148"/>
      <c r="E3570" s="154"/>
    </row>
    <row r="3571" spans="4:5" x14ac:dyDescent="0.2">
      <c r="D3571" s="148"/>
      <c r="E3571" s="154"/>
    </row>
    <row r="3572" spans="4:5" x14ac:dyDescent="0.2">
      <c r="D3572" s="148"/>
      <c r="E3572" s="154"/>
    </row>
    <row r="3573" spans="4:5" x14ac:dyDescent="0.2">
      <c r="D3573" s="148"/>
      <c r="E3573" s="154"/>
    </row>
    <row r="3574" spans="4:5" x14ac:dyDescent="0.2">
      <c r="D3574" s="148"/>
      <c r="E3574" s="154"/>
    </row>
    <row r="3575" spans="4:5" x14ac:dyDescent="0.2">
      <c r="D3575" s="148"/>
      <c r="E3575" s="154"/>
    </row>
    <row r="3576" spans="4:5" x14ac:dyDescent="0.2">
      <c r="D3576" s="148"/>
      <c r="E3576" s="154"/>
    </row>
    <row r="3577" spans="4:5" x14ac:dyDescent="0.2">
      <c r="D3577" s="148"/>
      <c r="E3577" s="154"/>
    </row>
    <row r="3578" spans="4:5" x14ac:dyDescent="0.2">
      <c r="D3578" s="148"/>
      <c r="E3578" s="154"/>
    </row>
    <row r="3579" spans="4:5" x14ac:dyDescent="0.2">
      <c r="D3579" s="148"/>
      <c r="E3579" s="154"/>
    </row>
    <row r="3580" spans="4:5" x14ac:dyDescent="0.2">
      <c r="D3580" s="148"/>
      <c r="E3580" s="154"/>
    </row>
    <row r="3581" spans="4:5" x14ac:dyDescent="0.2">
      <c r="D3581" s="148"/>
      <c r="E3581" s="154"/>
    </row>
    <row r="3582" spans="4:5" x14ac:dyDescent="0.2">
      <c r="D3582" s="148"/>
      <c r="E3582" s="154"/>
    </row>
    <row r="3583" spans="4:5" x14ac:dyDescent="0.2">
      <c r="D3583" s="148"/>
      <c r="E3583" s="154"/>
    </row>
    <row r="3584" spans="4:5" x14ac:dyDescent="0.2">
      <c r="D3584" s="148"/>
      <c r="E3584" s="154"/>
    </row>
    <row r="3585" spans="4:5" x14ac:dyDescent="0.2">
      <c r="D3585" s="148"/>
      <c r="E3585" s="154"/>
    </row>
    <row r="3586" spans="4:5" x14ac:dyDescent="0.2">
      <c r="D3586" s="148"/>
      <c r="E3586" s="154"/>
    </row>
    <row r="3587" spans="4:5" x14ac:dyDescent="0.2">
      <c r="D3587" s="148"/>
      <c r="E3587" s="154"/>
    </row>
    <row r="3588" spans="4:5" x14ac:dyDescent="0.2">
      <c r="D3588" s="148"/>
      <c r="E3588" s="154"/>
    </row>
    <row r="3589" spans="4:5" x14ac:dyDescent="0.2">
      <c r="D3589" s="148"/>
      <c r="E3589" s="154"/>
    </row>
    <row r="3590" spans="4:5" x14ac:dyDescent="0.2">
      <c r="D3590" s="148"/>
      <c r="E3590" s="154"/>
    </row>
    <row r="3591" spans="4:5" x14ac:dyDescent="0.2">
      <c r="D3591" s="148"/>
      <c r="E3591" s="154"/>
    </row>
    <row r="3592" spans="4:5" x14ac:dyDescent="0.2">
      <c r="D3592" s="148"/>
      <c r="E3592" s="154"/>
    </row>
    <row r="3593" spans="4:5" x14ac:dyDescent="0.2">
      <c r="D3593" s="148"/>
      <c r="E3593" s="154"/>
    </row>
    <row r="3594" spans="4:5" x14ac:dyDescent="0.2">
      <c r="D3594" s="148"/>
      <c r="E3594" s="154"/>
    </row>
    <row r="3595" spans="4:5" x14ac:dyDescent="0.2">
      <c r="D3595" s="148"/>
      <c r="E3595" s="154"/>
    </row>
    <row r="3596" spans="4:5" x14ac:dyDescent="0.2">
      <c r="D3596" s="148"/>
      <c r="E3596" s="154"/>
    </row>
    <row r="3597" spans="4:5" x14ac:dyDescent="0.2">
      <c r="D3597" s="148"/>
      <c r="E3597" s="154"/>
    </row>
    <row r="3598" spans="4:5" x14ac:dyDescent="0.2">
      <c r="D3598" s="148"/>
      <c r="E3598" s="154"/>
    </row>
    <row r="3599" spans="4:5" x14ac:dyDescent="0.2">
      <c r="D3599" s="148"/>
      <c r="E3599" s="154"/>
    </row>
    <row r="3600" spans="4:5" x14ac:dyDescent="0.2">
      <c r="D3600" s="148"/>
      <c r="E3600" s="154"/>
    </row>
    <row r="3601" spans="4:5" x14ac:dyDescent="0.2">
      <c r="D3601" s="148"/>
      <c r="E3601" s="154"/>
    </row>
    <row r="3602" spans="4:5" x14ac:dyDescent="0.2">
      <c r="D3602" s="148"/>
      <c r="E3602" s="154"/>
    </row>
    <row r="3603" spans="4:5" x14ac:dyDescent="0.2">
      <c r="D3603" s="148"/>
      <c r="E3603" s="154"/>
    </row>
    <row r="3604" spans="4:5" x14ac:dyDescent="0.2">
      <c r="D3604" s="148"/>
      <c r="E3604" s="154"/>
    </row>
    <row r="3605" spans="4:5" x14ac:dyDescent="0.2">
      <c r="D3605" s="148"/>
      <c r="E3605" s="154"/>
    </row>
    <row r="3606" spans="4:5" x14ac:dyDescent="0.2">
      <c r="D3606" s="148"/>
      <c r="E3606" s="154"/>
    </row>
    <row r="3607" spans="4:5" x14ac:dyDescent="0.2">
      <c r="D3607" s="148"/>
      <c r="E3607" s="154"/>
    </row>
    <row r="3608" spans="4:5" x14ac:dyDescent="0.2">
      <c r="D3608" s="148"/>
      <c r="E3608" s="154"/>
    </row>
    <row r="3609" spans="4:5" x14ac:dyDescent="0.2">
      <c r="D3609" s="148"/>
      <c r="E3609" s="154"/>
    </row>
    <row r="3610" spans="4:5" x14ac:dyDescent="0.2">
      <c r="D3610" s="148"/>
      <c r="E3610" s="154"/>
    </row>
    <row r="3611" spans="4:5" x14ac:dyDescent="0.2">
      <c r="D3611" s="148"/>
      <c r="E3611" s="154"/>
    </row>
    <row r="3612" spans="4:5" x14ac:dyDescent="0.2">
      <c r="D3612" s="148"/>
      <c r="E3612" s="154"/>
    </row>
    <row r="3613" spans="4:5" x14ac:dyDescent="0.2">
      <c r="D3613" s="148"/>
      <c r="E3613" s="154"/>
    </row>
    <row r="3614" spans="4:5" x14ac:dyDescent="0.2">
      <c r="D3614" s="148"/>
      <c r="E3614" s="154"/>
    </row>
    <row r="3615" spans="4:5" x14ac:dyDescent="0.2">
      <c r="D3615" s="148"/>
      <c r="E3615" s="154"/>
    </row>
    <row r="3616" spans="4:5" x14ac:dyDescent="0.2">
      <c r="D3616" s="148"/>
      <c r="E3616" s="154"/>
    </row>
    <row r="3617" spans="4:5" x14ac:dyDescent="0.2">
      <c r="D3617" s="148"/>
      <c r="E3617" s="154"/>
    </row>
    <row r="3618" spans="4:5" x14ac:dyDescent="0.2">
      <c r="D3618" s="148"/>
      <c r="E3618" s="154"/>
    </row>
    <row r="3619" spans="4:5" x14ac:dyDescent="0.2">
      <c r="D3619" s="148"/>
      <c r="E3619" s="154"/>
    </row>
    <row r="3620" spans="4:5" x14ac:dyDescent="0.2">
      <c r="D3620" s="148"/>
      <c r="E3620" s="154"/>
    </row>
    <row r="3621" spans="4:5" x14ac:dyDescent="0.2">
      <c r="D3621" s="148"/>
      <c r="E3621" s="154"/>
    </row>
    <row r="3622" spans="4:5" x14ac:dyDescent="0.2">
      <c r="D3622" s="148"/>
      <c r="E3622" s="154"/>
    </row>
    <row r="3623" spans="4:5" x14ac:dyDescent="0.2">
      <c r="D3623" s="148"/>
      <c r="E3623" s="154"/>
    </row>
    <row r="3624" spans="4:5" x14ac:dyDescent="0.2">
      <c r="D3624" s="148"/>
      <c r="E3624" s="154"/>
    </row>
    <row r="3625" spans="4:5" x14ac:dyDescent="0.2">
      <c r="D3625" s="148"/>
      <c r="E3625" s="154"/>
    </row>
    <row r="3626" spans="4:5" x14ac:dyDescent="0.2">
      <c r="D3626" s="148"/>
      <c r="E3626" s="154"/>
    </row>
    <row r="3627" spans="4:5" x14ac:dyDescent="0.2">
      <c r="D3627" s="148"/>
      <c r="E3627" s="154"/>
    </row>
    <row r="3628" spans="4:5" x14ac:dyDescent="0.2">
      <c r="D3628" s="148"/>
      <c r="E3628" s="154"/>
    </row>
    <row r="3629" spans="4:5" x14ac:dyDescent="0.2">
      <c r="D3629" s="148"/>
      <c r="E3629" s="154"/>
    </row>
    <row r="3630" spans="4:5" x14ac:dyDescent="0.2">
      <c r="D3630" s="148"/>
      <c r="E3630" s="154"/>
    </row>
    <row r="3631" spans="4:5" x14ac:dyDescent="0.2">
      <c r="D3631" s="148"/>
      <c r="E3631" s="154"/>
    </row>
    <row r="3632" spans="4:5" x14ac:dyDescent="0.2">
      <c r="D3632" s="148"/>
      <c r="E3632" s="154"/>
    </row>
    <row r="3633" spans="4:5" x14ac:dyDescent="0.2">
      <c r="D3633" s="148"/>
      <c r="E3633" s="154"/>
    </row>
    <row r="3634" spans="4:5" x14ac:dyDescent="0.2">
      <c r="D3634" s="148"/>
      <c r="E3634" s="154"/>
    </row>
    <row r="3635" spans="4:5" x14ac:dyDescent="0.2">
      <c r="D3635" s="148"/>
      <c r="E3635" s="154"/>
    </row>
    <row r="3636" spans="4:5" x14ac:dyDescent="0.2">
      <c r="D3636" s="148"/>
      <c r="E3636" s="154"/>
    </row>
    <row r="3637" spans="4:5" x14ac:dyDescent="0.2">
      <c r="D3637" s="148"/>
      <c r="E3637" s="154"/>
    </row>
    <row r="3638" spans="4:5" x14ac:dyDescent="0.2">
      <c r="D3638" s="148"/>
      <c r="E3638" s="154"/>
    </row>
    <row r="3639" spans="4:5" x14ac:dyDescent="0.2">
      <c r="D3639" s="148"/>
      <c r="E3639" s="154"/>
    </row>
    <row r="3640" spans="4:5" x14ac:dyDescent="0.2">
      <c r="D3640" s="148"/>
      <c r="E3640" s="154"/>
    </row>
    <row r="3641" spans="4:5" x14ac:dyDescent="0.2">
      <c r="D3641" s="148"/>
      <c r="E3641" s="154"/>
    </row>
    <row r="3642" spans="4:5" x14ac:dyDescent="0.2">
      <c r="D3642" s="148"/>
      <c r="E3642" s="154"/>
    </row>
    <row r="3643" spans="4:5" x14ac:dyDescent="0.2">
      <c r="D3643" s="148"/>
      <c r="E3643" s="154"/>
    </row>
    <row r="3644" spans="4:5" x14ac:dyDescent="0.2">
      <c r="D3644" s="148"/>
      <c r="E3644" s="154"/>
    </row>
    <row r="3645" spans="4:5" x14ac:dyDescent="0.2">
      <c r="D3645" s="148"/>
      <c r="E3645" s="154"/>
    </row>
    <row r="3646" spans="4:5" x14ac:dyDescent="0.2">
      <c r="D3646" s="148"/>
      <c r="E3646" s="154"/>
    </row>
    <row r="3647" spans="4:5" x14ac:dyDescent="0.2">
      <c r="D3647" s="148"/>
      <c r="E3647" s="154"/>
    </row>
    <row r="3648" spans="4:5" x14ac:dyDescent="0.2">
      <c r="D3648" s="148"/>
      <c r="E3648" s="154"/>
    </row>
    <row r="3649" spans="4:5" x14ac:dyDescent="0.2">
      <c r="D3649" s="148"/>
      <c r="E3649" s="154"/>
    </row>
    <row r="3650" spans="4:5" x14ac:dyDescent="0.2">
      <c r="D3650" s="148"/>
      <c r="E3650" s="154"/>
    </row>
    <row r="3651" spans="4:5" x14ac:dyDescent="0.2">
      <c r="D3651" s="148"/>
      <c r="E3651" s="154"/>
    </row>
    <row r="3652" spans="4:5" x14ac:dyDescent="0.2">
      <c r="D3652" s="148"/>
      <c r="E3652" s="154"/>
    </row>
    <row r="3653" spans="4:5" x14ac:dyDescent="0.2">
      <c r="D3653" s="148"/>
      <c r="E3653" s="154"/>
    </row>
    <row r="3654" spans="4:5" x14ac:dyDescent="0.2">
      <c r="D3654" s="148"/>
      <c r="E3654" s="154"/>
    </row>
    <row r="3655" spans="4:5" x14ac:dyDescent="0.2">
      <c r="D3655" s="148"/>
      <c r="E3655" s="154"/>
    </row>
    <row r="3656" spans="4:5" x14ac:dyDescent="0.2">
      <c r="D3656" s="148"/>
      <c r="E3656" s="154"/>
    </row>
    <row r="3657" spans="4:5" x14ac:dyDescent="0.2">
      <c r="D3657" s="148"/>
      <c r="E3657" s="154"/>
    </row>
    <row r="3658" spans="4:5" x14ac:dyDescent="0.2">
      <c r="D3658" s="148"/>
      <c r="E3658" s="154"/>
    </row>
    <row r="3659" spans="4:5" x14ac:dyDescent="0.2">
      <c r="D3659" s="148"/>
      <c r="E3659" s="154"/>
    </row>
    <row r="3660" spans="4:5" x14ac:dyDescent="0.2">
      <c r="D3660" s="148"/>
      <c r="E3660" s="154"/>
    </row>
    <row r="3661" spans="4:5" x14ac:dyDescent="0.2">
      <c r="D3661" s="148"/>
      <c r="E3661" s="154"/>
    </row>
    <row r="3662" spans="4:5" x14ac:dyDescent="0.2">
      <c r="D3662" s="148"/>
      <c r="E3662" s="154"/>
    </row>
    <row r="3663" spans="4:5" x14ac:dyDescent="0.2">
      <c r="D3663" s="148"/>
      <c r="E3663" s="154"/>
    </row>
    <row r="3664" spans="4:5" x14ac:dyDescent="0.2">
      <c r="D3664" s="148"/>
      <c r="E3664" s="154"/>
    </row>
    <row r="3665" spans="4:5" x14ac:dyDescent="0.2">
      <c r="D3665" s="148"/>
      <c r="E3665" s="154"/>
    </row>
    <row r="3666" spans="4:5" x14ac:dyDescent="0.2">
      <c r="D3666" s="148"/>
      <c r="E3666" s="154"/>
    </row>
    <row r="3667" spans="4:5" x14ac:dyDescent="0.2">
      <c r="D3667" s="148"/>
      <c r="E3667" s="154"/>
    </row>
    <row r="3668" spans="4:5" x14ac:dyDescent="0.2">
      <c r="D3668" s="148"/>
      <c r="E3668" s="154"/>
    </row>
    <row r="3669" spans="4:5" x14ac:dyDescent="0.2">
      <c r="D3669" s="148"/>
      <c r="E3669" s="154"/>
    </row>
    <row r="3670" spans="4:5" x14ac:dyDescent="0.2">
      <c r="D3670" s="148"/>
      <c r="E3670" s="154"/>
    </row>
    <row r="3671" spans="4:5" x14ac:dyDescent="0.2">
      <c r="D3671" s="148"/>
      <c r="E3671" s="154"/>
    </row>
    <row r="3672" spans="4:5" x14ac:dyDescent="0.2">
      <c r="D3672" s="148"/>
      <c r="E3672" s="154"/>
    </row>
    <row r="3673" spans="4:5" x14ac:dyDescent="0.2">
      <c r="D3673" s="148"/>
      <c r="E3673" s="154"/>
    </row>
    <row r="3674" spans="4:5" x14ac:dyDescent="0.2">
      <c r="D3674" s="148"/>
      <c r="E3674" s="154"/>
    </row>
    <row r="3675" spans="4:5" x14ac:dyDescent="0.2">
      <c r="D3675" s="148"/>
      <c r="E3675" s="154"/>
    </row>
    <row r="3676" spans="4:5" x14ac:dyDescent="0.2">
      <c r="D3676" s="148"/>
      <c r="E3676" s="154"/>
    </row>
    <row r="3677" spans="4:5" x14ac:dyDescent="0.2">
      <c r="D3677" s="148"/>
      <c r="E3677" s="154"/>
    </row>
    <row r="3678" spans="4:5" x14ac:dyDescent="0.2">
      <c r="D3678" s="148"/>
      <c r="E3678" s="154"/>
    </row>
    <row r="3679" spans="4:5" x14ac:dyDescent="0.2">
      <c r="D3679" s="148"/>
      <c r="E3679" s="154"/>
    </row>
    <row r="3680" spans="4:5" x14ac:dyDescent="0.2">
      <c r="D3680" s="148"/>
      <c r="E3680" s="154"/>
    </row>
    <row r="3681" spans="4:5" x14ac:dyDescent="0.2">
      <c r="D3681" s="148"/>
      <c r="E3681" s="154"/>
    </row>
    <row r="3682" spans="4:5" x14ac:dyDescent="0.2">
      <c r="D3682" s="148"/>
      <c r="E3682" s="154"/>
    </row>
    <row r="3683" spans="4:5" x14ac:dyDescent="0.2">
      <c r="D3683" s="148"/>
      <c r="E3683" s="154"/>
    </row>
    <row r="3684" spans="4:5" x14ac:dyDescent="0.2">
      <c r="D3684" s="148"/>
      <c r="E3684" s="154"/>
    </row>
    <row r="3685" spans="4:5" x14ac:dyDescent="0.2">
      <c r="D3685" s="148"/>
      <c r="E3685" s="154"/>
    </row>
    <row r="3686" spans="4:5" x14ac:dyDescent="0.2">
      <c r="D3686" s="148"/>
      <c r="E3686" s="154"/>
    </row>
    <row r="3687" spans="4:5" x14ac:dyDescent="0.2">
      <c r="D3687" s="148"/>
      <c r="E3687" s="154"/>
    </row>
    <row r="3688" spans="4:5" x14ac:dyDescent="0.2">
      <c r="D3688" s="148"/>
      <c r="E3688" s="154"/>
    </row>
    <row r="3689" spans="4:5" x14ac:dyDescent="0.2">
      <c r="D3689" s="148"/>
      <c r="E3689" s="154"/>
    </row>
    <row r="3690" spans="4:5" x14ac:dyDescent="0.2">
      <c r="D3690" s="148"/>
      <c r="E3690" s="154"/>
    </row>
    <row r="3691" spans="4:5" x14ac:dyDescent="0.2">
      <c r="D3691" s="148"/>
      <c r="E3691" s="154"/>
    </row>
    <row r="3692" spans="4:5" x14ac:dyDescent="0.2">
      <c r="D3692" s="148"/>
      <c r="E3692" s="154"/>
    </row>
    <row r="3693" spans="4:5" x14ac:dyDescent="0.2">
      <c r="D3693" s="148"/>
      <c r="E3693" s="154"/>
    </row>
    <row r="3694" spans="4:5" x14ac:dyDescent="0.2">
      <c r="D3694" s="148"/>
      <c r="E3694" s="154"/>
    </row>
    <row r="3695" spans="4:5" x14ac:dyDescent="0.2">
      <c r="D3695" s="148"/>
      <c r="E3695" s="154"/>
    </row>
    <row r="3696" spans="4:5" x14ac:dyDescent="0.2">
      <c r="D3696" s="148"/>
      <c r="E3696" s="154"/>
    </row>
    <row r="3697" spans="4:5" x14ac:dyDescent="0.2">
      <c r="D3697" s="148"/>
      <c r="E3697" s="154"/>
    </row>
    <row r="3698" spans="4:5" x14ac:dyDescent="0.2">
      <c r="D3698" s="148"/>
      <c r="E3698" s="154"/>
    </row>
    <row r="3699" spans="4:5" x14ac:dyDescent="0.2">
      <c r="D3699" s="148"/>
      <c r="E3699" s="154"/>
    </row>
    <row r="3700" spans="4:5" x14ac:dyDescent="0.2">
      <c r="D3700" s="148"/>
      <c r="E3700" s="154"/>
    </row>
    <row r="3701" spans="4:5" x14ac:dyDescent="0.2">
      <c r="D3701" s="148"/>
      <c r="E3701" s="154"/>
    </row>
    <row r="3702" spans="4:5" x14ac:dyDescent="0.2">
      <c r="D3702" s="148"/>
      <c r="E3702" s="154"/>
    </row>
    <row r="3703" spans="4:5" x14ac:dyDescent="0.2">
      <c r="D3703" s="148"/>
      <c r="E3703" s="154"/>
    </row>
    <row r="3704" spans="4:5" x14ac:dyDescent="0.2">
      <c r="D3704" s="148"/>
      <c r="E3704" s="154"/>
    </row>
    <row r="3705" spans="4:5" x14ac:dyDescent="0.2">
      <c r="D3705" s="148"/>
      <c r="E3705" s="154"/>
    </row>
    <row r="3706" spans="4:5" x14ac:dyDescent="0.2">
      <c r="D3706" s="148"/>
      <c r="E3706" s="154"/>
    </row>
    <row r="3707" spans="4:5" x14ac:dyDescent="0.2">
      <c r="D3707" s="148"/>
      <c r="E3707" s="154"/>
    </row>
    <row r="3708" spans="4:5" x14ac:dyDescent="0.2">
      <c r="D3708" s="148"/>
      <c r="E3708" s="154"/>
    </row>
    <row r="3709" spans="4:5" x14ac:dyDescent="0.2">
      <c r="D3709" s="148"/>
      <c r="E3709" s="154"/>
    </row>
    <row r="3710" spans="4:5" x14ac:dyDescent="0.2">
      <c r="D3710" s="148"/>
      <c r="E3710" s="154"/>
    </row>
    <row r="3711" spans="4:5" x14ac:dyDescent="0.2">
      <c r="D3711" s="148"/>
      <c r="E3711" s="154"/>
    </row>
    <row r="3712" spans="4:5" x14ac:dyDescent="0.2">
      <c r="D3712" s="148"/>
      <c r="E3712" s="154"/>
    </row>
    <row r="3713" spans="4:5" x14ac:dyDescent="0.2">
      <c r="D3713" s="148"/>
      <c r="E3713" s="154"/>
    </row>
    <row r="3714" spans="4:5" x14ac:dyDescent="0.2">
      <c r="D3714" s="148"/>
      <c r="E3714" s="154"/>
    </row>
    <row r="3715" spans="4:5" x14ac:dyDescent="0.2">
      <c r="D3715" s="148"/>
      <c r="E3715" s="154"/>
    </row>
    <row r="3716" spans="4:5" x14ac:dyDescent="0.2">
      <c r="D3716" s="148"/>
      <c r="E3716" s="154"/>
    </row>
    <row r="3717" spans="4:5" x14ac:dyDescent="0.2">
      <c r="D3717" s="148"/>
      <c r="E3717" s="154"/>
    </row>
    <row r="3718" spans="4:5" x14ac:dyDescent="0.2">
      <c r="D3718" s="148"/>
      <c r="E3718" s="154"/>
    </row>
    <row r="3719" spans="4:5" x14ac:dyDescent="0.2">
      <c r="D3719" s="148"/>
      <c r="E3719" s="154"/>
    </row>
    <row r="3720" spans="4:5" x14ac:dyDescent="0.2">
      <c r="D3720" s="148"/>
      <c r="E3720" s="154"/>
    </row>
    <row r="3721" spans="4:5" x14ac:dyDescent="0.2">
      <c r="D3721" s="148"/>
      <c r="E3721" s="154"/>
    </row>
    <row r="3722" spans="4:5" x14ac:dyDescent="0.2">
      <c r="D3722" s="148"/>
      <c r="E3722" s="154"/>
    </row>
    <row r="3723" spans="4:5" x14ac:dyDescent="0.2">
      <c r="D3723" s="148"/>
      <c r="E3723" s="154"/>
    </row>
    <row r="3724" spans="4:5" x14ac:dyDescent="0.2">
      <c r="D3724" s="148"/>
      <c r="E3724" s="154"/>
    </row>
    <row r="3725" spans="4:5" x14ac:dyDescent="0.2">
      <c r="D3725" s="148"/>
      <c r="E3725" s="154"/>
    </row>
    <row r="3726" spans="4:5" x14ac:dyDescent="0.2">
      <c r="D3726" s="148"/>
      <c r="E3726" s="154"/>
    </row>
    <row r="3727" spans="4:5" x14ac:dyDescent="0.2">
      <c r="D3727" s="148"/>
      <c r="E3727" s="154"/>
    </row>
    <row r="3728" spans="4:5" x14ac:dyDescent="0.2">
      <c r="D3728" s="148"/>
      <c r="E3728" s="154"/>
    </row>
    <row r="3729" spans="4:5" x14ac:dyDescent="0.2">
      <c r="D3729" s="148"/>
      <c r="E3729" s="154"/>
    </row>
    <row r="3730" spans="4:5" x14ac:dyDescent="0.2">
      <c r="D3730" s="148"/>
      <c r="E3730" s="154"/>
    </row>
    <row r="3731" spans="4:5" x14ac:dyDescent="0.2">
      <c r="D3731" s="148"/>
      <c r="E3731" s="154"/>
    </row>
    <row r="3732" spans="4:5" x14ac:dyDescent="0.2">
      <c r="D3732" s="148"/>
      <c r="E3732" s="154"/>
    </row>
    <row r="3733" spans="4:5" x14ac:dyDescent="0.2">
      <c r="D3733" s="148"/>
      <c r="E3733" s="154"/>
    </row>
    <row r="3734" spans="4:5" x14ac:dyDescent="0.2">
      <c r="D3734" s="148"/>
      <c r="E3734" s="154"/>
    </row>
    <row r="3735" spans="4:5" x14ac:dyDescent="0.2">
      <c r="D3735" s="148"/>
      <c r="E3735" s="154"/>
    </row>
    <row r="3736" spans="4:5" x14ac:dyDescent="0.2">
      <c r="D3736" s="148"/>
      <c r="E3736" s="154"/>
    </row>
    <row r="3737" spans="4:5" x14ac:dyDescent="0.2">
      <c r="D3737" s="148"/>
      <c r="E3737" s="154"/>
    </row>
    <row r="3738" spans="4:5" x14ac:dyDescent="0.2">
      <c r="D3738" s="148"/>
      <c r="E3738" s="154"/>
    </row>
    <row r="3739" spans="4:5" x14ac:dyDescent="0.2">
      <c r="D3739" s="148"/>
      <c r="E3739" s="154"/>
    </row>
    <row r="3740" spans="4:5" x14ac:dyDescent="0.2">
      <c r="D3740" s="148"/>
      <c r="E3740" s="154"/>
    </row>
    <row r="3741" spans="4:5" x14ac:dyDescent="0.2">
      <c r="D3741" s="148"/>
      <c r="E3741" s="154"/>
    </row>
    <row r="3742" spans="4:5" x14ac:dyDescent="0.2">
      <c r="D3742" s="148"/>
      <c r="E3742" s="154"/>
    </row>
    <row r="3743" spans="4:5" x14ac:dyDescent="0.2">
      <c r="D3743" s="148"/>
      <c r="E3743" s="154"/>
    </row>
    <row r="3744" spans="4:5" x14ac:dyDescent="0.2">
      <c r="D3744" s="148"/>
      <c r="E3744" s="154"/>
    </row>
    <row r="3745" spans="4:5" x14ac:dyDescent="0.2">
      <c r="D3745" s="148"/>
      <c r="E3745" s="154"/>
    </row>
    <row r="3746" spans="4:5" x14ac:dyDescent="0.2">
      <c r="D3746" s="148"/>
      <c r="E3746" s="154"/>
    </row>
    <row r="3747" spans="4:5" x14ac:dyDescent="0.2">
      <c r="D3747" s="148"/>
      <c r="E3747" s="154"/>
    </row>
    <row r="3748" spans="4:5" x14ac:dyDescent="0.2">
      <c r="D3748" s="148"/>
      <c r="E3748" s="154"/>
    </row>
    <row r="3749" spans="4:5" x14ac:dyDescent="0.2">
      <c r="D3749" s="148"/>
      <c r="E3749" s="154"/>
    </row>
    <row r="3750" spans="4:5" x14ac:dyDescent="0.2">
      <c r="D3750" s="148"/>
      <c r="E3750" s="154"/>
    </row>
    <row r="3751" spans="4:5" x14ac:dyDescent="0.2">
      <c r="D3751" s="148"/>
      <c r="E3751" s="154"/>
    </row>
    <row r="3752" spans="4:5" x14ac:dyDescent="0.2">
      <c r="D3752" s="148"/>
      <c r="E3752" s="154"/>
    </row>
    <row r="3753" spans="4:5" x14ac:dyDescent="0.2">
      <c r="D3753" s="148"/>
      <c r="E3753" s="154"/>
    </row>
    <row r="3754" spans="4:5" x14ac:dyDescent="0.2">
      <c r="D3754" s="148"/>
      <c r="E3754" s="154"/>
    </row>
    <row r="3755" spans="4:5" x14ac:dyDescent="0.2">
      <c r="D3755" s="148"/>
      <c r="E3755" s="154"/>
    </row>
    <row r="3756" spans="4:5" x14ac:dyDescent="0.2">
      <c r="D3756" s="148"/>
      <c r="E3756" s="154"/>
    </row>
    <row r="3757" spans="4:5" x14ac:dyDescent="0.2">
      <c r="D3757" s="148"/>
      <c r="E3757" s="154"/>
    </row>
    <row r="3758" spans="4:5" x14ac:dyDescent="0.2">
      <c r="D3758" s="148"/>
      <c r="E3758" s="154"/>
    </row>
    <row r="3759" spans="4:5" x14ac:dyDescent="0.2">
      <c r="D3759" s="148"/>
      <c r="E3759" s="154"/>
    </row>
    <row r="3760" spans="4:5" x14ac:dyDescent="0.2">
      <c r="D3760" s="148"/>
      <c r="E3760" s="154"/>
    </row>
    <row r="3761" spans="4:5" x14ac:dyDescent="0.2">
      <c r="D3761" s="148"/>
      <c r="E3761" s="154"/>
    </row>
    <row r="3762" spans="4:5" x14ac:dyDescent="0.2">
      <c r="D3762" s="148"/>
      <c r="E3762" s="154"/>
    </row>
    <row r="3763" spans="4:5" x14ac:dyDescent="0.2">
      <c r="D3763" s="148"/>
      <c r="E3763" s="154"/>
    </row>
    <row r="3764" spans="4:5" x14ac:dyDescent="0.2">
      <c r="D3764" s="148"/>
      <c r="E3764" s="154"/>
    </row>
    <row r="3765" spans="4:5" x14ac:dyDescent="0.2">
      <c r="D3765" s="148"/>
      <c r="E3765" s="154"/>
    </row>
    <row r="3766" spans="4:5" x14ac:dyDescent="0.2">
      <c r="D3766" s="148"/>
      <c r="E3766" s="154"/>
    </row>
    <row r="3767" spans="4:5" x14ac:dyDescent="0.2">
      <c r="D3767" s="148"/>
      <c r="E3767" s="154"/>
    </row>
    <row r="3768" spans="4:5" x14ac:dyDescent="0.2">
      <c r="D3768" s="148"/>
      <c r="E3768" s="154"/>
    </row>
    <row r="3769" spans="4:5" x14ac:dyDescent="0.2">
      <c r="D3769" s="148"/>
      <c r="E3769" s="154"/>
    </row>
    <row r="3770" spans="4:5" x14ac:dyDescent="0.2">
      <c r="D3770" s="148"/>
      <c r="E3770" s="154"/>
    </row>
    <row r="3771" spans="4:5" x14ac:dyDescent="0.2">
      <c r="D3771" s="148"/>
      <c r="E3771" s="154"/>
    </row>
    <row r="3772" spans="4:5" x14ac:dyDescent="0.2">
      <c r="D3772" s="148"/>
      <c r="E3772" s="154"/>
    </row>
    <row r="3773" spans="4:5" x14ac:dyDescent="0.2">
      <c r="D3773" s="148"/>
      <c r="E3773" s="154"/>
    </row>
    <row r="3774" spans="4:5" x14ac:dyDescent="0.2">
      <c r="D3774" s="148"/>
      <c r="E3774" s="154"/>
    </row>
    <row r="3775" spans="4:5" x14ac:dyDescent="0.2">
      <c r="D3775" s="148"/>
      <c r="E3775" s="154"/>
    </row>
    <row r="3776" spans="4:5" x14ac:dyDescent="0.2">
      <c r="D3776" s="148"/>
      <c r="E3776" s="154"/>
    </row>
    <row r="3777" spans="4:5" x14ac:dyDescent="0.2">
      <c r="D3777" s="148"/>
      <c r="E3777" s="154"/>
    </row>
    <row r="3778" spans="4:5" x14ac:dyDescent="0.2">
      <c r="D3778" s="148"/>
      <c r="E3778" s="154"/>
    </row>
    <row r="3779" spans="4:5" x14ac:dyDescent="0.2">
      <c r="D3779" s="148"/>
      <c r="E3779" s="154"/>
    </row>
    <row r="3780" spans="4:5" x14ac:dyDescent="0.2">
      <c r="D3780" s="148"/>
      <c r="E3780" s="154"/>
    </row>
    <row r="3781" spans="4:5" x14ac:dyDescent="0.2">
      <c r="D3781" s="148"/>
      <c r="E3781" s="154"/>
    </row>
    <row r="3782" spans="4:5" x14ac:dyDescent="0.2">
      <c r="D3782" s="148"/>
      <c r="E3782" s="154"/>
    </row>
    <row r="3783" spans="4:5" x14ac:dyDescent="0.2">
      <c r="D3783" s="148"/>
      <c r="E3783" s="154"/>
    </row>
    <row r="3784" spans="4:5" x14ac:dyDescent="0.2">
      <c r="D3784" s="148"/>
      <c r="E3784" s="154"/>
    </row>
    <row r="3785" spans="4:5" x14ac:dyDescent="0.2">
      <c r="D3785" s="148"/>
      <c r="E3785" s="154"/>
    </row>
    <row r="3786" spans="4:5" x14ac:dyDescent="0.2">
      <c r="D3786" s="148"/>
      <c r="E3786" s="154"/>
    </row>
    <row r="3787" spans="4:5" x14ac:dyDescent="0.2">
      <c r="D3787" s="148"/>
      <c r="E3787" s="154"/>
    </row>
    <row r="3788" spans="4:5" x14ac:dyDescent="0.2">
      <c r="D3788" s="148"/>
      <c r="E3788" s="154"/>
    </row>
    <row r="3789" spans="4:5" x14ac:dyDescent="0.2">
      <c r="D3789" s="148"/>
      <c r="E3789" s="154"/>
    </row>
    <row r="3790" spans="4:5" x14ac:dyDescent="0.2">
      <c r="D3790" s="148"/>
      <c r="E3790" s="154"/>
    </row>
    <row r="3791" spans="4:5" x14ac:dyDescent="0.2">
      <c r="D3791" s="148"/>
      <c r="E3791" s="154"/>
    </row>
    <row r="3792" spans="4:5" x14ac:dyDescent="0.2">
      <c r="D3792" s="148"/>
      <c r="E3792" s="154"/>
    </row>
    <row r="3793" spans="4:5" x14ac:dyDescent="0.2">
      <c r="D3793" s="148"/>
      <c r="E3793" s="154"/>
    </row>
    <row r="3794" spans="4:5" x14ac:dyDescent="0.2">
      <c r="D3794" s="148"/>
      <c r="E3794" s="154"/>
    </row>
    <row r="3795" spans="4:5" x14ac:dyDescent="0.2">
      <c r="D3795" s="148"/>
      <c r="E3795" s="154"/>
    </row>
    <row r="3796" spans="4:5" x14ac:dyDescent="0.2">
      <c r="D3796" s="148"/>
      <c r="E3796" s="154"/>
    </row>
    <row r="3797" spans="4:5" x14ac:dyDescent="0.2">
      <c r="D3797" s="148"/>
      <c r="E3797" s="154"/>
    </row>
    <row r="3798" spans="4:5" x14ac:dyDescent="0.2">
      <c r="D3798" s="148"/>
      <c r="E3798" s="154"/>
    </row>
    <row r="3799" spans="4:5" x14ac:dyDescent="0.2">
      <c r="D3799" s="148"/>
      <c r="E3799" s="154"/>
    </row>
    <row r="3800" spans="4:5" x14ac:dyDescent="0.2">
      <c r="D3800" s="148"/>
      <c r="E3800" s="154"/>
    </row>
    <row r="3801" spans="4:5" x14ac:dyDescent="0.2">
      <c r="D3801" s="148"/>
      <c r="E3801" s="154"/>
    </row>
    <row r="3802" spans="4:5" x14ac:dyDescent="0.2">
      <c r="D3802" s="148"/>
      <c r="E3802" s="154"/>
    </row>
    <row r="3803" spans="4:5" x14ac:dyDescent="0.2">
      <c r="D3803" s="148"/>
      <c r="E3803" s="154"/>
    </row>
    <row r="3804" spans="4:5" x14ac:dyDescent="0.2">
      <c r="D3804" s="148"/>
      <c r="E3804" s="154"/>
    </row>
    <row r="3805" spans="4:5" x14ac:dyDescent="0.2">
      <c r="D3805" s="148"/>
      <c r="E3805" s="154"/>
    </row>
    <row r="3806" spans="4:5" x14ac:dyDescent="0.2">
      <c r="D3806" s="148"/>
      <c r="E3806" s="154"/>
    </row>
    <row r="3807" spans="4:5" x14ac:dyDescent="0.2">
      <c r="D3807" s="148"/>
      <c r="E3807" s="154"/>
    </row>
    <row r="3808" spans="4:5" x14ac:dyDescent="0.2">
      <c r="D3808" s="148"/>
      <c r="E3808" s="154"/>
    </row>
    <row r="3809" spans="4:5" x14ac:dyDescent="0.2">
      <c r="D3809" s="148"/>
      <c r="E3809" s="154"/>
    </row>
    <row r="3810" spans="4:5" x14ac:dyDescent="0.2">
      <c r="D3810" s="148"/>
      <c r="E3810" s="154"/>
    </row>
    <row r="3811" spans="4:5" x14ac:dyDescent="0.2">
      <c r="D3811" s="148"/>
      <c r="E3811" s="154"/>
    </row>
    <row r="3812" spans="4:5" x14ac:dyDescent="0.2">
      <c r="D3812" s="148"/>
      <c r="E3812" s="154"/>
    </row>
    <row r="3813" spans="4:5" x14ac:dyDescent="0.2">
      <c r="D3813" s="148"/>
      <c r="E3813" s="154"/>
    </row>
    <row r="3814" spans="4:5" x14ac:dyDescent="0.2">
      <c r="D3814" s="148"/>
      <c r="E3814" s="154"/>
    </row>
    <row r="3815" spans="4:5" x14ac:dyDescent="0.2">
      <c r="D3815" s="148"/>
      <c r="E3815" s="154"/>
    </row>
    <row r="3816" spans="4:5" x14ac:dyDescent="0.2">
      <c r="D3816" s="148"/>
      <c r="E3816" s="154"/>
    </row>
    <row r="3817" spans="4:5" x14ac:dyDescent="0.2">
      <c r="D3817" s="148"/>
      <c r="E3817" s="154"/>
    </row>
    <row r="3818" spans="4:5" x14ac:dyDescent="0.2">
      <c r="D3818" s="148"/>
      <c r="E3818" s="154"/>
    </row>
    <row r="3819" spans="4:5" x14ac:dyDescent="0.2">
      <c r="D3819" s="148"/>
      <c r="E3819" s="154"/>
    </row>
    <row r="3820" spans="4:5" x14ac:dyDescent="0.2">
      <c r="D3820" s="148"/>
      <c r="E3820" s="154"/>
    </row>
    <row r="3821" spans="4:5" x14ac:dyDescent="0.2">
      <c r="D3821" s="148"/>
      <c r="E3821" s="154"/>
    </row>
    <row r="3822" spans="4:5" x14ac:dyDescent="0.2">
      <c r="D3822" s="148"/>
      <c r="E3822" s="154"/>
    </row>
    <row r="3823" spans="4:5" x14ac:dyDescent="0.2">
      <c r="D3823" s="148"/>
      <c r="E3823" s="154"/>
    </row>
    <row r="3824" spans="4:5" x14ac:dyDescent="0.2">
      <c r="D3824" s="148"/>
      <c r="E3824" s="154"/>
    </row>
    <row r="3825" spans="4:5" x14ac:dyDescent="0.2">
      <c r="D3825" s="148"/>
      <c r="E3825" s="154"/>
    </row>
    <row r="3826" spans="4:5" x14ac:dyDescent="0.2">
      <c r="D3826" s="148"/>
      <c r="E3826" s="154"/>
    </row>
    <row r="3827" spans="4:5" x14ac:dyDescent="0.2">
      <c r="D3827" s="148"/>
      <c r="E3827" s="154"/>
    </row>
    <row r="3828" spans="4:5" x14ac:dyDescent="0.2">
      <c r="D3828" s="148"/>
      <c r="E3828" s="154"/>
    </row>
    <row r="3829" spans="4:5" x14ac:dyDescent="0.2">
      <c r="D3829" s="148"/>
      <c r="E3829" s="154"/>
    </row>
    <row r="3830" spans="4:5" x14ac:dyDescent="0.2">
      <c r="D3830" s="148"/>
      <c r="E3830" s="154"/>
    </row>
    <row r="3831" spans="4:5" x14ac:dyDescent="0.2">
      <c r="D3831" s="148"/>
      <c r="E3831" s="154"/>
    </row>
    <row r="3832" spans="4:5" x14ac:dyDescent="0.2">
      <c r="D3832" s="148"/>
      <c r="E3832" s="154"/>
    </row>
    <row r="3833" spans="4:5" x14ac:dyDescent="0.2">
      <c r="D3833" s="148"/>
      <c r="E3833" s="154"/>
    </row>
    <row r="3834" spans="4:5" x14ac:dyDescent="0.2">
      <c r="D3834" s="148"/>
      <c r="E3834" s="154"/>
    </row>
    <row r="3835" spans="4:5" x14ac:dyDescent="0.2">
      <c r="D3835" s="148"/>
      <c r="E3835" s="154"/>
    </row>
    <row r="3836" spans="4:5" x14ac:dyDescent="0.2">
      <c r="D3836" s="148"/>
      <c r="E3836" s="154"/>
    </row>
    <row r="3837" spans="4:5" x14ac:dyDescent="0.2">
      <c r="D3837" s="148"/>
      <c r="E3837" s="154"/>
    </row>
    <row r="3838" spans="4:5" x14ac:dyDescent="0.2">
      <c r="D3838" s="148"/>
      <c r="E3838" s="154"/>
    </row>
    <row r="3839" spans="4:5" x14ac:dyDescent="0.2">
      <c r="D3839" s="148"/>
      <c r="E3839" s="154"/>
    </row>
    <row r="3840" spans="4:5" x14ac:dyDescent="0.2">
      <c r="D3840" s="148"/>
      <c r="E3840" s="154"/>
    </row>
    <row r="3841" spans="4:5" x14ac:dyDescent="0.2">
      <c r="D3841" s="148"/>
      <c r="E3841" s="154"/>
    </row>
    <row r="3842" spans="4:5" x14ac:dyDescent="0.2">
      <c r="D3842" s="148"/>
      <c r="E3842" s="154"/>
    </row>
    <row r="3843" spans="4:5" x14ac:dyDescent="0.2">
      <c r="D3843" s="148"/>
      <c r="E3843" s="154"/>
    </row>
    <row r="3844" spans="4:5" x14ac:dyDescent="0.2">
      <c r="D3844" s="148"/>
      <c r="E3844" s="154"/>
    </row>
    <row r="3845" spans="4:5" x14ac:dyDescent="0.2">
      <c r="D3845" s="148"/>
      <c r="E3845" s="154"/>
    </row>
    <row r="3846" spans="4:5" x14ac:dyDescent="0.2">
      <c r="D3846" s="148"/>
      <c r="E3846" s="154"/>
    </row>
    <row r="3847" spans="4:5" x14ac:dyDescent="0.2">
      <c r="D3847" s="148"/>
      <c r="E3847" s="154"/>
    </row>
    <row r="3848" spans="4:5" x14ac:dyDescent="0.2">
      <c r="D3848" s="148"/>
      <c r="E3848" s="154"/>
    </row>
    <row r="3849" spans="4:5" x14ac:dyDescent="0.2">
      <c r="D3849" s="148"/>
      <c r="E3849" s="154"/>
    </row>
    <row r="3850" spans="4:5" x14ac:dyDescent="0.2">
      <c r="D3850" s="148"/>
      <c r="E3850" s="154"/>
    </row>
    <row r="3851" spans="4:5" x14ac:dyDescent="0.2">
      <c r="D3851" s="148"/>
      <c r="E3851" s="154"/>
    </row>
    <row r="3852" spans="4:5" x14ac:dyDescent="0.2">
      <c r="D3852" s="148"/>
      <c r="E3852" s="154"/>
    </row>
    <row r="3853" spans="4:5" x14ac:dyDescent="0.2">
      <c r="D3853" s="148"/>
      <c r="E3853" s="154"/>
    </row>
    <row r="3854" spans="4:5" x14ac:dyDescent="0.2">
      <c r="D3854" s="148"/>
      <c r="E3854" s="154"/>
    </row>
    <row r="3855" spans="4:5" x14ac:dyDescent="0.2">
      <c r="D3855" s="148"/>
      <c r="E3855" s="154"/>
    </row>
    <row r="3856" spans="4:5" x14ac:dyDescent="0.2">
      <c r="D3856" s="148"/>
      <c r="E3856" s="154"/>
    </row>
    <row r="3857" spans="4:5" x14ac:dyDescent="0.2">
      <c r="D3857" s="148"/>
      <c r="E3857" s="154"/>
    </row>
    <row r="3858" spans="4:5" x14ac:dyDescent="0.2">
      <c r="D3858" s="148"/>
      <c r="E3858" s="154"/>
    </row>
    <row r="3859" spans="4:5" x14ac:dyDescent="0.2">
      <c r="D3859" s="148"/>
      <c r="E3859" s="154"/>
    </row>
    <row r="3860" spans="4:5" x14ac:dyDescent="0.2">
      <c r="D3860" s="148"/>
      <c r="E3860" s="154"/>
    </row>
    <row r="3861" spans="4:5" x14ac:dyDescent="0.2">
      <c r="D3861" s="148"/>
      <c r="E3861" s="154"/>
    </row>
    <row r="3862" spans="4:5" x14ac:dyDescent="0.2">
      <c r="D3862" s="148"/>
      <c r="E3862" s="154"/>
    </row>
    <row r="3863" spans="4:5" x14ac:dyDescent="0.2">
      <c r="D3863" s="148"/>
      <c r="E3863" s="154"/>
    </row>
    <row r="3864" spans="4:5" x14ac:dyDescent="0.2">
      <c r="D3864" s="148"/>
      <c r="E3864" s="154"/>
    </row>
    <row r="3865" spans="4:5" x14ac:dyDescent="0.2">
      <c r="D3865" s="148"/>
      <c r="E3865" s="154"/>
    </row>
    <row r="3866" spans="4:5" x14ac:dyDescent="0.2">
      <c r="D3866" s="148"/>
      <c r="E3866" s="154"/>
    </row>
    <row r="3867" spans="4:5" x14ac:dyDescent="0.2">
      <c r="D3867" s="148"/>
      <c r="E3867" s="154"/>
    </row>
    <row r="3868" spans="4:5" x14ac:dyDescent="0.2">
      <c r="D3868" s="148"/>
      <c r="E3868" s="154"/>
    </row>
    <row r="3869" spans="4:5" x14ac:dyDescent="0.2">
      <c r="D3869" s="148"/>
      <c r="E3869" s="154"/>
    </row>
    <row r="3870" spans="4:5" x14ac:dyDescent="0.2">
      <c r="D3870" s="148"/>
      <c r="E3870" s="154"/>
    </row>
    <row r="3871" spans="4:5" x14ac:dyDescent="0.2">
      <c r="D3871" s="148"/>
      <c r="E3871" s="154"/>
    </row>
    <row r="3872" spans="4:5" x14ac:dyDescent="0.2">
      <c r="D3872" s="148"/>
      <c r="E3872" s="154"/>
    </row>
    <row r="3873" spans="4:5" x14ac:dyDescent="0.2">
      <c r="D3873" s="148"/>
      <c r="E3873" s="154"/>
    </row>
    <row r="3874" spans="4:5" x14ac:dyDescent="0.2">
      <c r="D3874" s="148"/>
      <c r="E3874" s="154"/>
    </row>
    <row r="3875" spans="4:5" x14ac:dyDescent="0.2">
      <c r="D3875" s="148"/>
      <c r="E3875" s="154"/>
    </row>
    <row r="3876" spans="4:5" x14ac:dyDescent="0.2">
      <c r="D3876" s="148"/>
      <c r="E3876" s="154"/>
    </row>
    <row r="3877" spans="4:5" x14ac:dyDescent="0.2">
      <c r="D3877" s="148"/>
      <c r="E3877" s="154"/>
    </row>
    <row r="3878" spans="4:5" x14ac:dyDescent="0.2">
      <c r="D3878" s="148"/>
      <c r="E3878" s="154"/>
    </row>
    <row r="3879" spans="4:5" x14ac:dyDescent="0.2">
      <c r="D3879" s="148"/>
      <c r="E3879" s="154"/>
    </row>
    <row r="3880" spans="4:5" x14ac:dyDescent="0.2">
      <c r="D3880" s="148"/>
      <c r="E3880" s="154"/>
    </row>
    <row r="3881" spans="4:5" x14ac:dyDescent="0.2">
      <c r="D3881" s="148"/>
      <c r="E3881" s="154"/>
    </row>
    <row r="3882" spans="4:5" x14ac:dyDescent="0.2">
      <c r="D3882" s="148"/>
      <c r="E3882" s="154"/>
    </row>
    <row r="3883" spans="4:5" x14ac:dyDescent="0.2">
      <c r="D3883" s="148"/>
      <c r="E3883" s="154"/>
    </row>
    <row r="3884" spans="4:5" x14ac:dyDescent="0.2">
      <c r="D3884" s="148"/>
      <c r="E3884" s="154"/>
    </row>
    <row r="3885" spans="4:5" x14ac:dyDescent="0.2">
      <c r="D3885" s="148"/>
      <c r="E3885" s="154"/>
    </row>
    <row r="3886" spans="4:5" x14ac:dyDescent="0.2">
      <c r="D3886" s="148"/>
      <c r="E3886" s="154"/>
    </row>
    <row r="3887" spans="4:5" x14ac:dyDescent="0.2">
      <c r="D3887" s="148"/>
      <c r="E3887" s="154"/>
    </row>
    <row r="3888" spans="4:5" x14ac:dyDescent="0.2">
      <c r="D3888" s="148"/>
      <c r="E3888" s="154"/>
    </row>
    <row r="3889" spans="4:5" x14ac:dyDescent="0.2">
      <c r="D3889" s="148"/>
      <c r="E3889" s="154"/>
    </row>
    <row r="3890" spans="4:5" x14ac:dyDescent="0.2">
      <c r="D3890" s="148"/>
      <c r="E3890" s="154"/>
    </row>
    <row r="3891" spans="4:5" x14ac:dyDescent="0.2">
      <c r="D3891" s="148"/>
      <c r="E3891" s="154"/>
    </row>
    <row r="3892" spans="4:5" x14ac:dyDescent="0.2">
      <c r="D3892" s="148"/>
      <c r="E3892" s="154"/>
    </row>
    <row r="3893" spans="4:5" x14ac:dyDescent="0.2">
      <c r="D3893" s="148"/>
      <c r="E3893" s="154"/>
    </row>
    <row r="3894" spans="4:5" x14ac:dyDescent="0.2">
      <c r="D3894" s="148"/>
      <c r="E3894" s="154"/>
    </row>
    <row r="3895" spans="4:5" x14ac:dyDescent="0.2">
      <c r="D3895" s="148"/>
      <c r="E3895" s="154"/>
    </row>
    <row r="3896" spans="4:5" x14ac:dyDescent="0.2">
      <c r="D3896" s="148"/>
      <c r="E3896" s="154"/>
    </row>
    <row r="3897" spans="4:5" x14ac:dyDescent="0.2">
      <c r="D3897" s="148"/>
      <c r="E3897" s="154"/>
    </row>
    <row r="3898" spans="4:5" x14ac:dyDescent="0.2">
      <c r="D3898" s="148"/>
      <c r="E3898" s="154"/>
    </row>
    <row r="3899" spans="4:5" x14ac:dyDescent="0.2">
      <c r="D3899" s="148"/>
      <c r="E3899" s="154"/>
    </row>
    <row r="3900" spans="4:5" x14ac:dyDescent="0.2">
      <c r="D3900" s="148"/>
      <c r="E3900" s="154"/>
    </row>
    <row r="3901" spans="4:5" x14ac:dyDescent="0.2">
      <c r="D3901" s="148"/>
      <c r="E3901" s="154"/>
    </row>
    <row r="3902" spans="4:5" x14ac:dyDescent="0.2">
      <c r="D3902" s="148"/>
      <c r="E3902" s="154"/>
    </row>
    <row r="3903" spans="4:5" x14ac:dyDescent="0.2">
      <c r="D3903" s="148"/>
      <c r="E3903" s="154"/>
    </row>
    <row r="3904" spans="4:5" x14ac:dyDescent="0.2">
      <c r="D3904" s="148"/>
      <c r="E3904" s="154"/>
    </row>
    <row r="3905" spans="4:5" x14ac:dyDescent="0.2">
      <c r="D3905" s="148"/>
      <c r="E3905" s="154"/>
    </row>
    <row r="3906" spans="4:5" x14ac:dyDescent="0.2">
      <c r="D3906" s="148"/>
      <c r="E3906" s="154"/>
    </row>
    <row r="3907" spans="4:5" x14ac:dyDescent="0.2">
      <c r="D3907" s="148"/>
      <c r="E3907" s="154"/>
    </row>
    <row r="3908" spans="4:5" x14ac:dyDescent="0.2">
      <c r="D3908" s="148"/>
      <c r="E3908" s="154"/>
    </row>
    <row r="3909" spans="4:5" x14ac:dyDescent="0.2">
      <c r="D3909" s="148"/>
      <c r="E3909" s="154"/>
    </row>
    <row r="3910" spans="4:5" x14ac:dyDescent="0.2">
      <c r="D3910" s="148"/>
      <c r="E3910" s="154"/>
    </row>
    <row r="3911" spans="4:5" x14ac:dyDescent="0.2">
      <c r="D3911" s="148"/>
      <c r="E3911" s="154"/>
    </row>
    <row r="3912" spans="4:5" x14ac:dyDescent="0.2">
      <c r="D3912" s="148"/>
      <c r="E3912" s="154"/>
    </row>
    <row r="3913" spans="4:5" x14ac:dyDescent="0.2">
      <c r="D3913" s="148"/>
      <c r="E3913" s="154"/>
    </row>
    <row r="3914" spans="4:5" x14ac:dyDescent="0.2">
      <c r="D3914" s="148"/>
      <c r="E3914" s="154"/>
    </row>
    <row r="3915" spans="4:5" x14ac:dyDescent="0.2">
      <c r="D3915" s="148"/>
      <c r="E3915" s="154"/>
    </row>
    <row r="3916" spans="4:5" x14ac:dyDescent="0.2">
      <c r="D3916" s="148"/>
      <c r="E3916" s="154"/>
    </row>
    <row r="3917" spans="4:5" x14ac:dyDescent="0.2">
      <c r="D3917" s="148"/>
      <c r="E3917" s="154"/>
    </row>
    <row r="3918" spans="4:5" x14ac:dyDescent="0.2">
      <c r="D3918" s="148"/>
      <c r="E3918" s="154"/>
    </row>
    <row r="3919" spans="4:5" x14ac:dyDescent="0.2">
      <c r="D3919" s="148"/>
      <c r="E3919" s="154"/>
    </row>
    <row r="3920" spans="4:5" x14ac:dyDescent="0.2">
      <c r="D3920" s="148"/>
      <c r="E3920" s="154"/>
    </row>
    <row r="3921" spans="4:5" x14ac:dyDescent="0.2">
      <c r="D3921" s="148"/>
      <c r="E3921" s="154"/>
    </row>
    <row r="3922" spans="4:5" x14ac:dyDescent="0.2">
      <c r="D3922" s="148"/>
      <c r="E3922" s="154"/>
    </row>
    <row r="3923" spans="4:5" x14ac:dyDescent="0.2">
      <c r="D3923" s="148"/>
      <c r="E3923" s="154"/>
    </row>
    <row r="3924" spans="4:5" x14ac:dyDescent="0.2">
      <c r="D3924" s="148"/>
      <c r="E3924" s="154"/>
    </row>
    <row r="3925" spans="4:5" x14ac:dyDescent="0.2">
      <c r="D3925" s="148"/>
      <c r="E3925" s="154"/>
    </row>
    <row r="3926" spans="4:5" x14ac:dyDescent="0.2">
      <c r="D3926" s="148"/>
      <c r="E3926" s="154"/>
    </row>
    <row r="3927" spans="4:5" x14ac:dyDescent="0.2">
      <c r="D3927" s="148"/>
      <c r="E3927" s="154"/>
    </row>
    <row r="3928" spans="4:5" x14ac:dyDescent="0.2">
      <c r="D3928" s="148"/>
      <c r="E3928" s="154"/>
    </row>
    <row r="3929" spans="4:5" x14ac:dyDescent="0.2">
      <c r="D3929" s="148"/>
      <c r="E3929" s="154"/>
    </row>
    <row r="3930" spans="4:5" x14ac:dyDescent="0.2">
      <c r="D3930" s="148"/>
      <c r="E3930" s="154"/>
    </row>
    <row r="3931" spans="4:5" x14ac:dyDescent="0.2">
      <c r="D3931" s="148"/>
      <c r="E3931" s="154"/>
    </row>
    <row r="3932" spans="4:5" x14ac:dyDescent="0.2">
      <c r="D3932" s="148"/>
      <c r="E3932" s="154"/>
    </row>
    <row r="3933" spans="4:5" x14ac:dyDescent="0.2">
      <c r="D3933" s="148"/>
      <c r="E3933" s="154"/>
    </row>
    <row r="3934" spans="4:5" x14ac:dyDescent="0.2">
      <c r="D3934" s="148"/>
      <c r="E3934" s="154"/>
    </row>
    <row r="3935" spans="4:5" x14ac:dyDescent="0.2">
      <c r="D3935" s="148"/>
      <c r="E3935" s="154"/>
    </row>
    <row r="3936" spans="4:5" x14ac:dyDescent="0.2">
      <c r="D3936" s="148"/>
      <c r="E3936" s="154"/>
    </row>
    <row r="3937" spans="4:5" x14ac:dyDescent="0.2">
      <c r="D3937" s="148"/>
      <c r="E3937" s="154"/>
    </row>
    <row r="3938" spans="4:5" x14ac:dyDescent="0.2">
      <c r="D3938" s="148"/>
      <c r="E3938" s="154"/>
    </row>
    <row r="3939" spans="4:5" x14ac:dyDescent="0.2">
      <c r="D3939" s="148"/>
      <c r="E3939" s="154"/>
    </row>
    <row r="3940" spans="4:5" x14ac:dyDescent="0.2">
      <c r="D3940" s="148"/>
      <c r="E3940" s="154"/>
    </row>
    <row r="3941" spans="4:5" x14ac:dyDescent="0.2">
      <c r="D3941" s="148"/>
      <c r="E3941" s="154"/>
    </row>
    <row r="3942" spans="4:5" x14ac:dyDescent="0.2">
      <c r="D3942" s="148"/>
      <c r="E3942" s="154"/>
    </row>
    <row r="3943" spans="4:5" x14ac:dyDescent="0.2">
      <c r="D3943" s="148"/>
      <c r="E3943" s="154"/>
    </row>
    <row r="3944" spans="4:5" x14ac:dyDescent="0.2">
      <c r="D3944" s="148"/>
      <c r="E3944" s="154"/>
    </row>
    <row r="3945" spans="4:5" x14ac:dyDescent="0.2">
      <c r="D3945" s="148"/>
      <c r="E3945" s="154"/>
    </row>
    <row r="3946" spans="4:5" x14ac:dyDescent="0.2">
      <c r="D3946" s="148"/>
      <c r="E3946" s="154"/>
    </row>
    <row r="3947" spans="4:5" x14ac:dyDescent="0.2">
      <c r="D3947" s="148"/>
      <c r="E3947" s="154"/>
    </row>
    <row r="3948" spans="4:5" x14ac:dyDescent="0.2">
      <c r="D3948" s="148"/>
      <c r="E3948" s="154"/>
    </row>
    <row r="3949" spans="4:5" x14ac:dyDescent="0.2">
      <c r="D3949" s="148"/>
      <c r="E3949" s="154"/>
    </row>
    <row r="3950" spans="4:5" x14ac:dyDescent="0.2">
      <c r="D3950" s="148"/>
      <c r="E3950" s="154"/>
    </row>
    <row r="3951" spans="4:5" x14ac:dyDescent="0.2">
      <c r="D3951" s="148"/>
      <c r="E3951" s="154"/>
    </row>
    <row r="3952" spans="4:5" x14ac:dyDescent="0.2">
      <c r="D3952" s="148"/>
      <c r="E3952" s="154"/>
    </row>
    <row r="3953" spans="4:5" x14ac:dyDescent="0.2">
      <c r="D3953" s="148"/>
      <c r="E3953" s="154"/>
    </row>
    <row r="3954" spans="4:5" x14ac:dyDescent="0.2">
      <c r="D3954" s="148"/>
      <c r="E3954" s="154"/>
    </row>
    <row r="3955" spans="4:5" x14ac:dyDescent="0.2">
      <c r="D3955" s="148"/>
      <c r="E3955" s="154"/>
    </row>
    <row r="3956" spans="4:5" x14ac:dyDescent="0.2">
      <c r="D3956" s="148"/>
      <c r="E3956" s="154"/>
    </row>
    <row r="3957" spans="4:5" x14ac:dyDescent="0.2">
      <c r="D3957" s="148"/>
      <c r="E3957" s="154"/>
    </row>
    <row r="3958" spans="4:5" x14ac:dyDescent="0.2">
      <c r="D3958" s="148"/>
      <c r="E3958" s="154"/>
    </row>
    <row r="3959" spans="4:5" x14ac:dyDescent="0.2">
      <c r="D3959" s="148"/>
      <c r="E3959" s="154"/>
    </row>
    <row r="3960" spans="4:5" x14ac:dyDescent="0.2">
      <c r="D3960" s="148"/>
      <c r="E3960" s="154"/>
    </row>
    <row r="3961" spans="4:5" x14ac:dyDescent="0.2">
      <c r="D3961" s="148"/>
      <c r="E3961" s="154"/>
    </row>
    <row r="3962" spans="4:5" x14ac:dyDescent="0.2">
      <c r="D3962" s="148"/>
      <c r="E3962" s="154"/>
    </row>
    <row r="3963" spans="4:5" x14ac:dyDescent="0.2">
      <c r="D3963" s="148"/>
      <c r="E3963" s="154"/>
    </row>
    <row r="3964" spans="4:5" x14ac:dyDescent="0.2">
      <c r="D3964" s="148"/>
      <c r="E3964" s="154"/>
    </row>
    <row r="3965" spans="4:5" x14ac:dyDescent="0.2">
      <c r="D3965" s="148"/>
      <c r="E3965" s="154"/>
    </row>
    <row r="3966" spans="4:5" x14ac:dyDescent="0.2">
      <c r="D3966" s="148"/>
      <c r="E3966" s="154"/>
    </row>
    <row r="3967" spans="4:5" x14ac:dyDescent="0.2">
      <c r="D3967" s="148"/>
      <c r="E3967" s="154"/>
    </row>
    <row r="3968" spans="4:5" x14ac:dyDescent="0.2">
      <c r="D3968" s="148"/>
      <c r="E3968" s="154"/>
    </row>
    <row r="3969" spans="4:5" x14ac:dyDescent="0.2">
      <c r="D3969" s="148"/>
      <c r="E3969" s="154"/>
    </row>
    <row r="3970" spans="4:5" x14ac:dyDescent="0.2">
      <c r="D3970" s="148"/>
      <c r="E3970" s="154"/>
    </row>
    <row r="3971" spans="4:5" x14ac:dyDescent="0.2">
      <c r="D3971" s="148"/>
      <c r="E3971" s="154"/>
    </row>
    <row r="3972" spans="4:5" x14ac:dyDescent="0.2">
      <c r="D3972" s="148"/>
      <c r="E3972" s="154"/>
    </row>
    <row r="3973" spans="4:5" x14ac:dyDescent="0.2">
      <c r="D3973" s="148"/>
      <c r="E3973" s="154"/>
    </row>
    <row r="3974" spans="4:5" x14ac:dyDescent="0.2">
      <c r="D3974" s="148"/>
      <c r="E3974" s="154"/>
    </row>
    <row r="3975" spans="4:5" x14ac:dyDescent="0.2">
      <c r="D3975" s="148"/>
      <c r="E3975" s="154"/>
    </row>
    <row r="3976" spans="4:5" x14ac:dyDescent="0.2">
      <c r="D3976" s="148"/>
      <c r="E3976" s="154"/>
    </row>
    <row r="3977" spans="4:5" x14ac:dyDescent="0.2">
      <c r="D3977" s="148"/>
      <c r="E3977" s="154"/>
    </row>
    <row r="3978" spans="4:5" x14ac:dyDescent="0.2">
      <c r="D3978" s="148"/>
      <c r="E3978" s="154"/>
    </row>
    <row r="3979" spans="4:5" x14ac:dyDescent="0.2">
      <c r="D3979" s="148"/>
      <c r="E3979" s="154"/>
    </row>
    <row r="3980" spans="4:5" x14ac:dyDescent="0.2">
      <c r="D3980" s="148"/>
      <c r="E3980" s="154"/>
    </row>
    <row r="3981" spans="4:5" x14ac:dyDescent="0.2">
      <c r="D3981" s="148"/>
      <c r="E3981" s="154"/>
    </row>
    <row r="3982" spans="4:5" x14ac:dyDescent="0.2">
      <c r="D3982" s="148"/>
      <c r="E3982" s="154"/>
    </row>
    <row r="3983" spans="4:5" x14ac:dyDescent="0.2">
      <c r="D3983" s="148"/>
      <c r="E3983" s="154"/>
    </row>
    <row r="3984" spans="4:5" x14ac:dyDescent="0.2">
      <c r="D3984" s="148"/>
      <c r="E3984" s="154"/>
    </row>
    <row r="3985" spans="4:5" x14ac:dyDescent="0.2">
      <c r="D3985" s="148"/>
      <c r="E3985" s="154"/>
    </row>
    <row r="3986" spans="4:5" x14ac:dyDescent="0.2">
      <c r="D3986" s="148"/>
      <c r="E3986" s="154"/>
    </row>
    <row r="3987" spans="4:5" x14ac:dyDescent="0.2">
      <c r="D3987" s="148"/>
      <c r="E3987" s="154"/>
    </row>
    <row r="3988" spans="4:5" x14ac:dyDescent="0.2">
      <c r="D3988" s="148"/>
      <c r="E3988" s="154"/>
    </row>
    <row r="3989" spans="4:5" x14ac:dyDescent="0.2">
      <c r="D3989" s="148"/>
      <c r="E3989" s="154"/>
    </row>
    <row r="3990" spans="4:5" x14ac:dyDescent="0.2">
      <c r="D3990" s="148"/>
      <c r="E3990" s="154"/>
    </row>
    <row r="3991" spans="4:5" x14ac:dyDescent="0.2">
      <c r="D3991" s="148"/>
      <c r="E3991" s="154"/>
    </row>
    <row r="3992" spans="4:5" x14ac:dyDescent="0.2">
      <c r="D3992" s="148"/>
      <c r="E3992" s="154"/>
    </row>
    <row r="3993" spans="4:5" x14ac:dyDescent="0.2">
      <c r="D3993" s="148"/>
      <c r="E3993" s="154"/>
    </row>
    <row r="3994" spans="4:5" x14ac:dyDescent="0.2">
      <c r="D3994" s="148"/>
      <c r="E3994" s="154"/>
    </row>
    <row r="3995" spans="4:5" x14ac:dyDescent="0.2">
      <c r="D3995" s="148"/>
      <c r="E3995" s="154"/>
    </row>
    <row r="3996" spans="4:5" x14ac:dyDescent="0.2">
      <c r="D3996" s="148"/>
      <c r="E3996" s="154"/>
    </row>
    <row r="3997" spans="4:5" x14ac:dyDescent="0.2">
      <c r="D3997" s="148"/>
      <c r="E3997" s="154"/>
    </row>
    <row r="3998" spans="4:5" x14ac:dyDescent="0.2">
      <c r="D3998" s="148"/>
      <c r="E3998" s="154"/>
    </row>
    <row r="3999" spans="4:5" x14ac:dyDescent="0.2">
      <c r="D3999" s="148"/>
      <c r="E3999" s="154"/>
    </row>
    <row r="4000" spans="4:5" x14ac:dyDescent="0.2">
      <c r="D4000" s="148"/>
      <c r="E4000" s="154"/>
    </row>
    <row r="4001" spans="4:5" x14ac:dyDescent="0.2">
      <c r="D4001" s="148"/>
      <c r="E4001" s="154"/>
    </row>
    <row r="4002" spans="4:5" x14ac:dyDescent="0.2">
      <c r="D4002" s="148"/>
      <c r="E4002" s="154"/>
    </row>
    <row r="4003" spans="4:5" x14ac:dyDescent="0.2">
      <c r="D4003" s="148"/>
      <c r="E4003" s="154"/>
    </row>
    <row r="4004" spans="4:5" x14ac:dyDescent="0.2">
      <c r="D4004" s="148"/>
      <c r="E4004" s="154"/>
    </row>
    <row r="4005" spans="4:5" x14ac:dyDescent="0.2">
      <c r="D4005" s="148"/>
      <c r="E4005" s="154"/>
    </row>
    <row r="4006" spans="4:5" x14ac:dyDescent="0.2">
      <c r="D4006" s="148"/>
      <c r="E4006" s="154"/>
    </row>
    <row r="4007" spans="4:5" x14ac:dyDescent="0.2">
      <c r="D4007" s="148"/>
      <c r="E4007" s="154"/>
    </row>
    <row r="4008" spans="4:5" x14ac:dyDescent="0.2">
      <c r="D4008" s="148"/>
      <c r="E4008" s="154"/>
    </row>
    <row r="4009" spans="4:5" x14ac:dyDescent="0.2">
      <c r="D4009" s="148"/>
      <c r="E4009" s="154"/>
    </row>
    <row r="4010" spans="4:5" x14ac:dyDescent="0.2">
      <c r="D4010" s="148"/>
      <c r="E4010" s="154"/>
    </row>
    <row r="4011" spans="4:5" x14ac:dyDescent="0.2">
      <c r="D4011" s="148"/>
      <c r="E4011" s="154"/>
    </row>
    <row r="4012" spans="4:5" x14ac:dyDescent="0.2">
      <c r="D4012" s="148"/>
      <c r="E4012" s="154"/>
    </row>
    <row r="4013" spans="4:5" x14ac:dyDescent="0.2">
      <c r="D4013" s="148"/>
      <c r="E4013" s="154"/>
    </row>
    <row r="4014" spans="4:5" x14ac:dyDescent="0.2">
      <c r="D4014" s="148"/>
      <c r="E4014" s="154"/>
    </row>
    <row r="4015" spans="4:5" x14ac:dyDescent="0.2">
      <c r="D4015" s="148"/>
      <c r="E4015" s="154"/>
    </row>
    <row r="4016" spans="4:5" x14ac:dyDescent="0.2">
      <c r="D4016" s="148"/>
      <c r="E4016" s="154"/>
    </row>
    <row r="4017" spans="4:5" x14ac:dyDescent="0.2">
      <c r="D4017" s="148"/>
      <c r="E4017" s="154"/>
    </row>
    <row r="4018" spans="4:5" x14ac:dyDescent="0.2">
      <c r="D4018" s="148"/>
      <c r="E4018" s="154"/>
    </row>
    <row r="4019" spans="4:5" x14ac:dyDescent="0.2">
      <c r="D4019" s="148"/>
      <c r="E4019" s="154"/>
    </row>
    <row r="4020" spans="4:5" x14ac:dyDescent="0.2">
      <c r="D4020" s="148"/>
      <c r="E4020" s="154"/>
    </row>
    <row r="4021" spans="4:5" x14ac:dyDescent="0.2">
      <c r="D4021" s="148"/>
      <c r="E4021" s="154"/>
    </row>
    <row r="4022" spans="4:5" x14ac:dyDescent="0.2">
      <c r="D4022" s="148"/>
      <c r="E4022" s="154"/>
    </row>
    <row r="4023" spans="4:5" x14ac:dyDescent="0.2">
      <c r="D4023" s="148"/>
      <c r="E4023" s="154"/>
    </row>
    <row r="4024" spans="4:5" x14ac:dyDescent="0.2">
      <c r="D4024" s="148"/>
      <c r="E4024" s="154"/>
    </row>
    <row r="4025" spans="4:5" x14ac:dyDescent="0.2">
      <c r="D4025" s="148"/>
      <c r="E4025" s="154"/>
    </row>
    <row r="4026" spans="4:5" x14ac:dyDescent="0.2">
      <c r="D4026" s="148"/>
      <c r="E4026" s="154"/>
    </row>
    <row r="4027" spans="4:5" x14ac:dyDescent="0.2">
      <c r="D4027" s="148"/>
      <c r="E4027" s="154"/>
    </row>
    <row r="4028" spans="4:5" x14ac:dyDescent="0.2">
      <c r="D4028" s="148"/>
      <c r="E4028" s="154"/>
    </row>
    <row r="4029" spans="4:5" x14ac:dyDescent="0.2">
      <c r="D4029" s="148"/>
      <c r="E4029" s="154"/>
    </row>
    <row r="4030" spans="4:5" x14ac:dyDescent="0.2">
      <c r="D4030" s="148"/>
      <c r="E4030" s="154"/>
    </row>
    <row r="4031" spans="4:5" x14ac:dyDescent="0.2">
      <c r="D4031" s="148"/>
      <c r="E4031" s="154"/>
    </row>
    <row r="4032" spans="4:5" x14ac:dyDescent="0.2">
      <c r="D4032" s="148"/>
      <c r="E4032" s="154"/>
    </row>
    <row r="4033" spans="4:5" x14ac:dyDescent="0.2">
      <c r="D4033" s="148"/>
      <c r="E4033" s="154"/>
    </row>
    <row r="4034" spans="4:5" x14ac:dyDescent="0.2">
      <c r="D4034" s="148"/>
      <c r="E4034" s="154"/>
    </row>
    <row r="4035" spans="4:5" x14ac:dyDescent="0.2">
      <c r="D4035" s="148"/>
      <c r="E4035" s="154"/>
    </row>
    <row r="4036" spans="4:5" x14ac:dyDescent="0.2">
      <c r="D4036" s="148"/>
      <c r="E4036" s="154"/>
    </row>
    <row r="4037" spans="4:5" x14ac:dyDescent="0.2">
      <c r="D4037" s="148"/>
      <c r="E4037" s="154"/>
    </row>
    <row r="4038" spans="4:5" x14ac:dyDescent="0.2">
      <c r="D4038" s="148"/>
      <c r="E4038" s="154"/>
    </row>
    <row r="4039" spans="4:5" x14ac:dyDescent="0.2">
      <c r="D4039" s="148"/>
      <c r="E4039" s="154"/>
    </row>
    <row r="4040" spans="4:5" x14ac:dyDescent="0.2">
      <c r="D4040" s="148"/>
      <c r="E4040" s="154"/>
    </row>
    <row r="4041" spans="4:5" x14ac:dyDescent="0.2">
      <c r="D4041" s="148"/>
      <c r="E4041" s="154"/>
    </row>
    <row r="4042" spans="4:5" x14ac:dyDescent="0.2">
      <c r="D4042" s="148"/>
      <c r="E4042" s="154"/>
    </row>
    <row r="4043" spans="4:5" x14ac:dyDescent="0.2">
      <c r="D4043" s="148"/>
      <c r="E4043" s="154"/>
    </row>
    <row r="4044" spans="4:5" x14ac:dyDescent="0.2">
      <c r="D4044" s="148"/>
      <c r="E4044" s="154"/>
    </row>
    <row r="4045" spans="4:5" x14ac:dyDescent="0.2">
      <c r="D4045" s="148"/>
      <c r="E4045" s="154"/>
    </row>
    <row r="4046" spans="4:5" x14ac:dyDescent="0.2">
      <c r="D4046" s="148"/>
      <c r="E4046" s="154"/>
    </row>
    <row r="4047" spans="4:5" x14ac:dyDescent="0.2">
      <c r="D4047" s="148"/>
      <c r="E4047" s="154"/>
    </row>
    <row r="4048" spans="4:5" x14ac:dyDescent="0.2">
      <c r="D4048" s="148"/>
      <c r="E4048" s="154"/>
    </row>
    <row r="4049" spans="4:5" x14ac:dyDescent="0.2">
      <c r="D4049" s="148"/>
      <c r="E4049" s="154"/>
    </row>
    <row r="4050" spans="4:5" x14ac:dyDescent="0.2">
      <c r="D4050" s="148"/>
      <c r="E4050" s="154"/>
    </row>
    <row r="4051" spans="4:5" x14ac:dyDescent="0.2">
      <c r="D4051" s="148"/>
      <c r="E4051" s="154"/>
    </row>
    <row r="4052" spans="4:5" x14ac:dyDescent="0.2">
      <c r="D4052" s="148"/>
      <c r="E4052" s="154"/>
    </row>
    <row r="4053" spans="4:5" x14ac:dyDescent="0.2">
      <c r="D4053" s="148"/>
      <c r="E4053" s="154"/>
    </row>
    <row r="4054" spans="4:5" x14ac:dyDescent="0.2">
      <c r="D4054" s="148"/>
      <c r="E4054" s="154"/>
    </row>
    <row r="4055" spans="4:5" x14ac:dyDescent="0.2">
      <c r="D4055" s="148"/>
      <c r="E4055" s="154"/>
    </row>
    <row r="4056" spans="4:5" x14ac:dyDescent="0.2">
      <c r="D4056" s="148"/>
      <c r="E4056" s="154"/>
    </row>
    <row r="4057" spans="4:5" x14ac:dyDescent="0.2">
      <c r="D4057" s="148"/>
      <c r="E4057" s="154"/>
    </row>
    <row r="4058" spans="4:5" x14ac:dyDescent="0.2">
      <c r="D4058" s="148"/>
      <c r="E4058" s="154"/>
    </row>
    <row r="4059" spans="4:5" x14ac:dyDescent="0.2">
      <c r="D4059" s="148"/>
      <c r="E4059" s="154"/>
    </row>
    <row r="4060" spans="4:5" x14ac:dyDescent="0.2">
      <c r="D4060" s="148"/>
      <c r="E4060" s="154"/>
    </row>
    <row r="4061" spans="4:5" x14ac:dyDescent="0.2">
      <c r="D4061" s="148"/>
      <c r="E4061" s="154"/>
    </row>
    <row r="4062" spans="4:5" x14ac:dyDescent="0.2">
      <c r="D4062" s="148"/>
      <c r="E4062" s="154"/>
    </row>
    <row r="4063" spans="4:5" x14ac:dyDescent="0.2">
      <c r="D4063" s="148"/>
      <c r="E4063" s="154"/>
    </row>
    <row r="4064" spans="4:5" x14ac:dyDescent="0.2">
      <c r="D4064" s="148"/>
      <c r="E4064" s="154"/>
    </row>
    <row r="4065" spans="4:5" x14ac:dyDescent="0.2">
      <c r="D4065" s="148"/>
      <c r="E4065" s="154"/>
    </row>
    <row r="4066" spans="4:5" x14ac:dyDescent="0.2">
      <c r="D4066" s="148"/>
      <c r="E4066" s="154"/>
    </row>
    <row r="4067" spans="4:5" x14ac:dyDescent="0.2">
      <c r="D4067" s="148"/>
      <c r="E4067" s="154"/>
    </row>
    <row r="4068" spans="4:5" x14ac:dyDescent="0.2">
      <c r="D4068" s="148"/>
      <c r="E4068" s="154"/>
    </row>
    <row r="4069" spans="4:5" x14ac:dyDescent="0.2">
      <c r="D4069" s="148"/>
      <c r="E4069" s="154"/>
    </row>
    <row r="4070" spans="4:5" x14ac:dyDescent="0.2">
      <c r="D4070" s="148"/>
      <c r="E4070" s="154"/>
    </row>
    <row r="4071" spans="4:5" x14ac:dyDescent="0.2">
      <c r="D4071" s="148"/>
      <c r="E4071" s="154"/>
    </row>
    <row r="4072" spans="4:5" x14ac:dyDescent="0.2">
      <c r="D4072" s="148"/>
      <c r="E4072" s="154"/>
    </row>
    <row r="4073" spans="4:5" x14ac:dyDescent="0.2">
      <c r="D4073" s="148"/>
      <c r="E4073" s="154"/>
    </row>
    <row r="4074" spans="4:5" x14ac:dyDescent="0.2">
      <c r="D4074" s="148"/>
      <c r="E4074" s="154"/>
    </row>
    <row r="4075" spans="4:5" x14ac:dyDescent="0.2">
      <c r="D4075" s="148"/>
      <c r="E4075" s="154"/>
    </row>
    <row r="4076" spans="4:5" x14ac:dyDescent="0.2">
      <c r="D4076" s="148"/>
      <c r="E4076" s="154"/>
    </row>
    <row r="4077" spans="4:5" x14ac:dyDescent="0.2">
      <c r="D4077" s="148"/>
      <c r="E4077" s="154"/>
    </row>
    <row r="4078" spans="4:5" x14ac:dyDescent="0.2">
      <c r="D4078" s="148"/>
      <c r="E4078" s="154"/>
    </row>
    <row r="4079" spans="4:5" x14ac:dyDescent="0.2">
      <c r="D4079" s="148"/>
      <c r="E4079" s="154"/>
    </row>
    <row r="4080" spans="4:5" x14ac:dyDescent="0.2">
      <c r="D4080" s="148"/>
      <c r="E4080" s="154"/>
    </row>
    <row r="4081" spans="4:5" x14ac:dyDescent="0.2">
      <c r="D4081" s="148"/>
      <c r="E4081" s="154"/>
    </row>
    <row r="4082" spans="4:5" x14ac:dyDescent="0.2">
      <c r="D4082" s="148"/>
      <c r="E4082" s="154"/>
    </row>
    <row r="4083" spans="4:5" x14ac:dyDescent="0.2">
      <c r="D4083" s="148"/>
      <c r="E4083" s="154"/>
    </row>
    <row r="4084" spans="4:5" x14ac:dyDescent="0.2">
      <c r="D4084" s="148"/>
      <c r="E4084" s="154"/>
    </row>
    <row r="4085" spans="4:5" x14ac:dyDescent="0.2">
      <c r="D4085" s="148"/>
      <c r="E4085" s="154"/>
    </row>
    <row r="4086" spans="4:5" x14ac:dyDescent="0.2">
      <c r="D4086" s="148"/>
      <c r="E4086" s="154"/>
    </row>
    <row r="4087" spans="4:5" x14ac:dyDescent="0.2">
      <c r="D4087" s="148"/>
      <c r="E4087" s="154"/>
    </row>
    <row r="4088" spans="4:5" x14ac:dyDescent="0.2">
      <c r="D4088" s="148"/>
      <c r="E4088" s="154"/>
    </row>
    <row r="4089" spans="4:5" x14ac:dyDescent="0.2">
      <c r="D4089" s="148"/>
      <c r="E4089" s="154"/>
    </row>
    <row r="4090" spans="4:5" x14ac:dyDescent="0.2">
      <c r="D4090" s="148"/>
      <c r="E4090" s="154"/>
    </row>
    <row r="4091" spans="4:5" x14ac:dyDescent="0.2">
      <c r="D4091" s="148"/>
      <c r="E4091" s="154"/>
    </row>
    <row r="4092" spans="4:5" x14ac:dyDescent="0.2">
      <c r="D4092" s="148"/>
      <c r="E4092" s="154"/>
    </row>
    <row r="4093" spans="4:5" x14ac:dyDescent="0.2">
      <c r="D4093" s="148"/>
      <c r="E4093" s="154"/>
    </row>
    <row r="4094" spans="4:5" x14ac:dyDescent="0.2">
      <c r="D4094" s="148"/>
      <c r="E4094" s="154"/>
    </row>
    <row r="4095" spans="4:5" x14ac:dyDescent="0.2">
      <c r="D4095" s="148"/>
      <c r="E4095" s="154"/>
    </row>
    <row r="4096" spans="4:5" x14ac:dyDescent="0.2">
      <c r="D4096" s="148"/>
      <c r="E4096" s="154"/>
    </row>
    <row r="4097" spans="4:5" x14ac:dyDescent="0.2">
      <c r="D4097" s="148"/>
      <c r="E4097" s="154"/>
    </row>
    <row r="4098" spans="4:5" x14ac:dyDescent="0.2">
      <c r="D4098" s="148"/>
      <c r="E4098" s="154"/>
    </row>
    <row r="4099" spans="4:5" x14ac:dyDescent="0.2">
      <c r="D4099" s="148"/>
      <c r="E4099" s="154"/>
    </row>
    <row r="4100" spans="4:5" x14ac:dyDescent="0.2">
      <c r="D4100" s="148"/>
      <c r="E4100" s="154"/>
    </row>
    <row r="4101" spans="4:5" x14ac:dyDescent="0.2">
      <c r="D4101" s="148"/>
      <c r="E4101" s="154"/>
    </row>
    <row r="4102" spans="4:5" x14ac:dyDescent="0.2">
      <c r="D4102" s="148"/>
      <c r="E4102" s="154"/>
    </row>
    <row r="4103" spans="4:5" x14ac:dyDescent="0.2">
      <c r="D4103" s="148"/>
      <c r="E4103" s="154"/>
    </row>
    <row r="4104" spans="4:5" x14ac:dyDescent="0.2">
      <c r="D4104" s="148"/>
      <c r="E4104" s="154"/>
    </row>
    <row r="4105" spans="4:5" x14ac:dyDescent="0.2">
      <c r="D4105" s="148"/>
      <c r="E4105" s="154"/>
    </row>
    <row r="4106" spans="4:5" x14ac:dyDescent="0.2">
      <c r="D4106" s="148"/>
      <c r="E4106" s="154"/>
    </row>
    <row r="4107" spans="4:5" x14ac:dyDescent="0.2">
      <c r="D4107" s="148"/>
      <c r="E4107" s="154"/>
    </row>
    <row r="4108" spans="4:5" x14ac:dyDescent="0.2">
      <c r="D4108" s="148"/>
      <c r="E4108" s="154"/>
    </row>
    <row r="4109" spans="4:5" x14ac:dyDescent="0.2">
      <c r="D4109" s="148"/>
      <c r="E4109" s="154"/>
    </row>
    <row r="4110" spans="4:5" x14ac:dyDescent="0.2">
      <c r="D4110" s="148"/>
      <c r="E4110" s="154"/>
    </row>
    <row r="4111" spans="4:5" x14ac:dyDescent="0.2">
      <c r="D4111" s="148"/>
      <c r="E4111" s="154"/>
    </row>
    <row r="4112" spans="4:5" x14ac:dyDescent="0.2">
      <c r="D4112" s="148"/>
      <c r="E4112" s="154"/>
    </row>
    <row r="4113" spans="4:5" x14ac:dyDescent="0.2">
      <c r="D4113" s="148"/>
      <c r="E4113" s="154"/>
    </row>
    <row r="4114" spans="4:5" x14ac:dyDescent="0.2">
      <c r="D4114" s="148"/>
      <c r="E4114" s="154"/>
    </row>
    <row r="4115" spans="4:5" x14ac:dyDescent="0.2">
      <c r="D4115" s="148"/>
      <c r="E4115" s="154"/>
    </row>
    <row r="4116" spans="4:5" x14ac:dyDescent="0.2">
      <c r="D4116" s="148"/>
      <c r="E4116" s="154"/>
    </row>
    <row r="4117" spans="4:5" x14ac:dyDescent="0.2">
      <c r="D4117" s="148"/>
      <c r="E4117" s="154"/>
    </row>
    <row r="4118" spans="4:5" x14ac:dyDescent="0.2">
      <c r="D4118" s="148"/>
      <c r="E4118" s="154"/>
    </row>
    <row r="4119" spans="4:5" x14ac:dyDescent="0.2">
      <c r="D4119" s="148"/>
      <c r="E4119" s="154"/>
    </row>
    <row r="4120" spans="4:5" x14ac:dyDescent="0.2">
      <c r="D4120" s="148"/>
      <c r="E4120" s="154"/>
    </row>
    <row r="4121" spans="4:5" x14ac:dyDescent="0.2">
      <c r="D4121" s="148"/>
      <c r="E4121" s="154"/>
    </row>
    <row r="4122" spans="4:5" x14ac:dyDescent="0.2">
      <c r="D4122" s="148"/>
      <c r="E4122" s="154"/>
    </row>
    <row r="4123" spans="4:5" x14ac:dyDescent="0.2">
      <c r="D4123" s="148"/>
      <c r="E4123" s="154"/>
    </row>
    <row r="4124" spans="4:5" x14ac:dyDescent="0.2">
      <c r="D4124" s="148"/>
      <c r="E4124" s="154"/>
    </row>
    <row r="4125" spans="4:5" x14ac:dyDescent="0.2">
      <c r="D4125" s="148"/>
      <c r="E4125" s="154"/>
    </row>
    <row r="4126" spans="4:5" x14ac:dyDescent="0.2">
      <c r="D4126" s="148"/>
      <c r="E4126" s="154"/>
    </row>
    <row r="4127" spans="4:5" x14ac:dyDescent="0.2">
      <c r="D4127" s="148"/>
      <c r="E4127" s="154"/>
    </row>
    <row r="4128" spans="4:5" x14ac:dyDescent="0.2">
      <c r="D4128" s="148"/>
      <c r="E4128" s="154"/>
    </row>
    <row r="4129" spans="4:5" x14ac:dyDescent="0.2">
      <c r="D4129" s="148"/>
      <c r="E4129" s="154"/>
    </row>
    <row r="4130" spans="4:5" x14ac:dyDescent="0.2">
      <c r="D4130" s="148"/>
      <c r="E4130" s="154"/>
    </row>
    <row r="4131" spans="4:5" x14ac:dyDescent="0.2">
      <c r="D4131" s="148"/>
      <c r="E4131" s="154"/>
    </row>
    <row r="4132" spans="4:5" x14ac:dyDescent="0.2">
      <c r="D4132" s="148"/>
      <c r="E4132" s="154"/>
    </row>
    <row r="4133" spans="4:5" x14ac:dyDescent="0.2">
      <c r="D4133" s="148"/>
      <c r="E4133" s="154"/>
    </row>
    <row r="4134" spans="4:5" x14ac:dyDescent="0.2">
      <c r="D4134" s="148"/>
      <c r="E4134" s="154"/>
    </row>
    <row r="4135" spans="4:5" x14ac:dyDescent="0.2">
      <c r="D4135" s="148"/>
      <c r="E4135" s="154"/>
    </row>
    <row r="4136" spans="4:5" x14ac:dyDescent="0.2">
      <c r="D4136" s="148"/>
      <c r="E4136" s="154"/>
    </row>
    <row r="4137" spans="4:5" x14ac:dyDescent="0.2">
      <c r="D4137" s="148"/>
      <c r="E4137" s="154"/>
    </row>
    <row r="4138" spans="4:5" x14ac:dyDescent="0.2">
      <c r="D4138" s="148"/>
      <c r="E4138" s="154"/>
    </row>
    <row r="4139" spans="4:5" x14ac:dyDescent="0.2">
      <c r="D4139" s="148"/>
      <c r="E4139" s="154"/>
    </row>
    <row r="4140" spans="4:5" x14ac:dyDescent="0.2">
      <c r="D4140" s="148"/>
      <c r="E4140" s="154"/>
    </row>
    <row r="4141" spans="4:5" x14ac:dyDescent="0.2">
      <c r="D4141" s="148"/>
      <c r="E4141" s="154"/>
    </row>
    <row r="4142" spans="4:5" x14ac:dyDescent="0.2">
      <c r="D4142" s="148"/>
      <c r="E4142" s="154"/>
    </row>
    <row r="4143" spans="4:5" x14ac:dyDescent="0.2">
      <c r="D4143" s="148"/>
      <c r="E4143" s="154"/>
    </row>
    <row r="4144" spans="4:5" x14ac:dyDescent="0.2">
      <c r="D4144" s="148"/>
      <c r="E4144" s="154"/>
    </row>
    <row r="4145" spans="4:5" x14ac:dyDescent="0.2">
      <c r="D4145" s="148"/>
      <c r="E4145" s="154"/>
    </row>
    <row r="4146" spans="4:5" x14ac:dyDescent="0.2">
      <c r="D4146" s="148"/>
      <c r="E4146" s="154"/>
    </row>
    <row r="4147" spans="4:5" x14ac:dyDescent="0.2">
      <c r="D4147" s="148"/>
      <c r="E4147" s="154"/>
    </row>
    <row r="4148" spans="4:5" x14ac:dyDescent="0.2">
      <c r="D4148" s="148"/>
      <c r="E4148" s="154"/>
    </row>
    <row r="4149" spans="4:5" x14ac:dyDescent="0.2">
      <c r="D4149" s="148"/>
      <c r="E4149" s="154"/>
    </row>
    <row r="4150" spans="4:5" x14ac:dyDescent="0.2">
      <c r="D4150" s="148"/>
      <c r="E4150" s="154"/>
    </row>
    <row r="4151" spans="4:5" x14ac:dyDescent="0.2">
      <c r="D4151" s="148"/>
      <c r="E4151" s="154"/>
    </row>
    <row r="4152" spans="4:5" x14ac:dyDescent="0.2">
      <c r="D4152" s="148"/>
      <c r="E4152" s="154"/>
    </row>
    <row r="4153" spans="4:5" x14ac:dyDescent="0.2">
      <c r="D4153" s="148"/>
      <c r="E4153" s="154"/>
    </row>
    <row r="4154" spans="4:5" x14ac:dyDescent="0.2">
      <c r="D4154" s="148"/>
      <c r="E4154" s="154"/>
    </row>
    <row r="4155" spans="4:5" x14ac:dyDescent="0.2">
      <c r="D4155" s="148"/>
      <c r="E4155" s="154"/>
    </row>
    <row r="4156" spans="4:5" x14ac:dyDescent="0.2">
      <c r="D4156" s="148"/>
      <c r="E4156" s="154"/>
    </row>
    <row r="4157" spans="4:5" x14ac:dyDescent="0.2">
      <c r="D4157" s="148"/>
      <c r="E4157" s="154"/>
    </row>
    <row r="4158" spans="4:5" x14ac:dyDescent="0.2">
      <c r="D4158" s="148"/>
      <c r="E4158" s="154"/>
    </row>
    <row r="4159" spans="4:5" x14ac:dyDescent="0.2">
      <c r="D4159" s="148"/>
      <c r="E4159" s="154"/>
    </row>
    <row r="4160" spans="4:5" x14ac:dyDescent="0.2">
      <c r="D4160" s="148"/>
      <c r="E4160" s="154"/>
    </row>
    <row r="4161" spans="4:5" x14ac:dyDescent="0.2">
      <c r="D4161" s="148"/>
      <c r="E4161" s="154"/>
    </row>
    <row r="4162" spans="4:5" x14ac:dyDescent="0.2">
      <c r="D4162" s="148"/>
      <c r="E4162" s="154"/>
    </row>
    <row r="4163" spans="4:5" x14ac:dyDescent="0.2">
      <c r="D4163" s="148"/>
      <c r="E4163" s="154"/>
    </row>
    <row r="4164" spans="4:5" x14ac:dyDescent="0.2">
      <c r="D4164" s="148"/>
      <c r="E4164" s="154"/>
    </row>
    <row r="4165" spans="4:5" x14ac:dyDescent="0.2">
      <c r="D4165" s="148"/>
      <c r="E4165" s="154"/>
    </row>
    <row r="4166" spans="4:5" x14ac:dyDescent="0.2">
      <c r="D4166" s="148"/>
      <c r="E4166" s="154"/>
    </row>
    <row r="4167" spans="4:5" x14ac:dyDescent="0.2">
      <c r="D4167" s="148"/>
      <c r="E4167" s="154"/>
    </row>
    <row r="4168" spans="4:5" x14ac:dyDescent="0.2">
      <c r="D4168" s="148"/>
      <c r="E4168" s="154"/>
    </row>
    <row r="4169" spans="4:5" x14ac:dyDescent="0.2">
      <c r="D4169" s="148"/>
      <c r="E4169" s="154"/>
    </row>
    <row r="4170" spans="4:5" x14ac:dyDescent="0.2">
      <c r="D4170" s="148"/>
      <c r="E4170" s="154"/>
    </row>
    <row r="4171" spans="4:5" x14ac:dyDescent="0.2">
      <c r="D4171" s="148"/>
      <c r="E4171" s="154"/>
    </row>
    <row r="4172" spans="4:5" x14ac:dyDescent="0.2">
      <c r="D4172" s="148"/>
      <c r="E4172" s="154"/>
    </row>
    <row r="4173" spans="4:5" x14ac:dyDescent="0.2">
      <c r="D4173" s="148"/>
      <c r="E4173" s="154"/>
    </row>
    <row r="4174" spans="4:5" x14ac:dyDescent="0.2">
      <c r="D4174" s="148"/>
      <c r="E4174" s="154"/>
    </row>
    <row r="4175" spans="4:5" x14ac:dyDescent="0.2">
      <c r="D4175" s="148"/>
      <c r="E4175" s="154"/>
    </row>
    <row r="4176" spans="4:5" x14ac:dyDescent="0.2">
      <c r="D4176" s="148"/>
      <c r="E4176" s="154"/>
    </row>
    <row r="4177" spans="4:5" x14ac:dyDescent="0.2">
      <c r="D4177" s="148"/>
      <c r="E4177" s="154"/>
    </row>
    <row r="4178" spans="4:5" x14ac:dyDescent="0.2">
      <c r="D4178" s="148"/>
      <c r="E4178" s="154"/>
    </row>
    <row r="4179" spans="4:5" x14ac:dyDescent="0.2">
      <c r="D4179" s="148"/>
      <c r="E4179" s="154"/>
    </row>
    <row r="4180" spans="4:5" x14ac:dyDescent="0.2">
      <c r="D4180" s="148"/>
      <c r="E4180" s="154"/>
    </row>
    <row r="4181" spans="4:5" x14ac:dyDescent="0.2">
      <c r="D4181" s="148"/>
      <c r="E4181" s="154"/>
    </row>
    <row r="4182" spans="4:5" x14ac:dyDescent="0.2">
      <c r="D4182" s="148"/>
      <c r="E4182" s="154"/>
    </row>
    <row r="4183" spans="4:5" x14ac:dyDescent="0.2">
      <c r="D4183" s="148"/>
      <c r="E4183" s="154"/>
    </row>
    <row r="4184" spans="4:5" x14ac:dyDescent="0.2">
      <c r="D4184" s="148"/>
      <c r="E4184" s="154"/>
    </row>
    <row r="4185" spans="4:5" x14ac:dyDescent="0.2">
      <c r="D4185" s="148"/>
      <c r="E4185" s="154"/>
    </row>
    <row r="4186" spans="4:5" x14ac:dyDescent="0.2">
      <c r="D4186" s="148"/>
      <c r="E4186" s="154"/>
    </row>
    <row r="4187" spans="4:5" x14ac:dyDescent="0.2">
      <c r="D4187" s="148"/>
      <c r="E4187" s="154"/>
    </row>
    <row r="4188" spans="4:5" x14ac:dyDescent="0.2">
      <c r="D4188" s="148"/>
      <c r="E4188" s="154"/>
    </row>
    <row r="4189" spans="4:5" x14ac:dyDescent="0.2">
      <c r="D4189" s="148"/>
      <c r="E4189" s="154"/>
    </row>
    <row r="4190" spans="4:5" x14ac:dyDescent="0.2">
      <c r="D4190" s="148"/>
      <c r="E4190" s="154"/>
    </row>
    <row r="4191" spans="4:5" x14ac:dyDescent="0.2">
      <c r="D4191" s="148"/>
      <c r="E4191" s="154"/>
    </row>
    <row r="4192" spans="4:5" x14ac:dyDescent="0.2">
      <c r="D4192" s="148"/>
      <c r="E4192" s="154"/>
    </row>
    <row r="4193" spans="4:5" x14ac:dyDescent="0.2">
      <c r="D4193" s="148"/>
      <c r="E4193" s="154"/>
    </row>
    <row r="4194" spans="4:5" x14ac:dyDescent="0.2">
      <c r="D4194" s="148"/>
      <c r="E4194" s="154"/>
    </row>
    <row r="4195" spans="4:5" x14ac:dyDescent="0.2">
      <c r="D4195" s="148"/>
      <c r="E4195" s="154"/>
    </row>
    <row r="4196" spans="4:5" x14ac:dyDescent="0.2">
      <c r="D4196" s="148"/>
      <c r="E4196" s="154"/>
    </row>
    <row r="4197" spans="4:5" x14ac:dyDescent="0.2">
      <c r="D4197" s="148"/>
      <c r="E4197" s="154"/>
    </row>
    <row r="4198" spans="4:5" x14ac:dyDescent="0.2">
      <c r="D4198" s="148"/>
      <c r="E4198" s="154"/>
    </row>
    <row r="4199" spans="4:5" x14ac:dyDescent="0.2">
      <c r="D4199" s="148"/>
      <c r="E4199" s="154"/>
    </row>
    <row r="4200" spans="4:5" x14ac:dyDescent="0.2">
      <c r="D4200" s="148"/>
      <c r="E4200" s="154"/>
    </row>
    <row r="4201" spans="4:5" x14ac:dyDescent="0.2">
      <c r="D4201" s="148"/>
      <c r="E4201" s="154"/>
    </row>
    <row r="4202" spans="4:5" x14ac:dyDescent="0.2">
      <c r="D4202" s="148"/>
      <c r="E4202" s="154"/>
    </row>
    <row r="4203" spans="4:5" x14ac:dyDescent="0.2">
      <c r="D4203" s="148"/>
      <c r="E4203" s="154"/>
    </row>
    <row r="4204" spans="4:5" x14ac:dyDescent="0.2">
      <c r="D4204" s="148"/>
      <c r="E4204" s="154"/>
    </row>
    <row r="4205" spans="4:5" x14ac:dyDescent="0.2">
      <c r="D4205" s="148"/>
      <c r="E4205" s="154"/>
    </row>
    <row r="4206" spans="4:5" x14ac:dyDescent="0.2">
      <c r="D4206" s="148"/>
      <c r="E4206" s="154"/>
    </row>
    <row r="4207" spans="4:5" x14ac:dyDescent="0.2">
      <c r="D4207" s="148"/>
      <c r="E4207" s="154"/>
    </row>
    <row r="4208" spans="4:5" x14ac:dyDescent="0.2">
      <c r="D4208" s="148"/>
      <c r="E4208" s="154"/>
    </row>
    <row r="4209" spans="4:5" x14ac:dyDescent="0.2">
      <c r="D4209" s="148"/>
      <c r="E4209" s="154"/>
    </row>
    <row r="4210" spans="4:5" x14ac:dyDescent="0.2">
      <c r="D4210" s="148"/>
      <c r="E4210" s="154"/>
    </row>
    <row r="4211" spans="4:5" x14ac:dyDescent="0.2">
      <c r="D4211" s="148"/>
      <c r="E4211" s="154"/>
    </row>
    <row r="4212" spans="4:5" x14ac:dyDescent="0.2">
      <c r="D4212" s="148"/>
      <c r="E4212" s="154"/>
    </row>
    <row r="4213" spans="4:5" x14ac:dyDescent="0.2">
      <c r="D4213" s="148"/>
      <c r="E4213" s="154"/>
    </row>
    <row r="4214" spans="4:5" x14ac:dyDescent="0.2">
      <c r="D4214" s="148"/>
      <c r="E4214" s="154"/>
    </row>
    <row r="4215" spans="4:5" x14ac:dyDescent="0.2">
      <c r="D4215" s="148"/>
      <c r="E4215" s="154"/>
    </row>
    <row r="4216" spans="4:5" x14ac:dyDescent="0.2">
      <c r="D4216" s="148"/>
      <c r="E4216" s="154"/>
    </row>
    <row r="4217" spans="4:5" x14ac:dyDescent="0.2">
      <c r="D4217" s="148"/>
      <c r="E4217" s="154"/>
    </row>
    <row r="4218" spans="4:5" x14ac:dyDescent="0.2">
      <c r="D4218" s="148"/>
      <c r="E4218" s="154"/>
    </row>
    <row r="4219" spans="4:5" x14ac:dyDescent="0.2">
      <c r="D4219" s="148"/>
      <c r="E4219" s="154"/>
    </row>
    <row r="4220" spans="4:5" x14ac:dyDescent="0.2">
      <c r="D4220" s="148"/>
      <c r="E4220" s="154"/>
    </row>
    <row r="4221" spans="4:5" x14ac:dyDescent="0.2">
      <c r="D4221" s="148"/>
      <c r="E4221" s="154"/>
    </row>
    <row r="4222" spans="4:5" x14ac:dyDescent="0.2">
      <c r="D4222" s="148"/>
      <c r="E4222" s="154"/>
    </row>
    <row r="4223" spans="4:5" x14ac:dyDescent="0.2">
      <c r="D4223" s="148"/>
      <c r="E4223" s="154"/>
    </row>
    <row r="4224" spans="4:5" x14ac:dyDescent="0.2">
      <c r="D4224" s="148"/>
      <c r="E4224" s="154"/>
    </row>
    <row r="4225" spans="4:5" x14ac:dyDescent="0.2">
      <c r="D4225" s="148"/>
      <c r="E4225" s="154"/>
    </row>
    <row r="4226" spans="4:5" x14ac:dyDescent="0.2">
      <c r="D4226" s="148"/>
      <c r="E4226" s="154"/>
    </row>
    <row r="4227" spans="4:5" x14ac:dyDescent="0.2">
      <c r="D4227" s="148"/>
      <c r="E4227" s="154"/>
    </row>
    <row r="4228" spans="4:5" x14ac:dyDescent="0.2">
      <c r="D4228" s="148"/>
      <c r="E4228" s="154"/>
    </row>
    <row r="4229" spans="4:5" x14ac:dyDescent="0.2">
      <c r="D4229" s="148"/>
      <c r="E4229" s="154"/>
    </row>
    <row r="4230" spans="4:5" x14ac:dyDescent="0.2">
      <c r="D4230" s="148"/>
      <c r="E4230" s="154"/>
    </row>
    <row r="4231" spans="4:5" x14ac:dyDescent="0.2">
      <c r="D4231" s="148"/>
      <c r="E4231" s="154"/>
    </row>
    <row r="4232" spans="4:5" x14ac:dyDescent="0.2">
      <c r="D4232" s="148"/>
      <c r="E4232" s="154"/>
    </row>
    <row r="4233" spans="4:5" x14ac:dyDescent="0.2">
      <c r="D4233" s="148"/>
      <c r="E4233" s="154"/>
    </row>
    <row r="4234" spans="4:5" x14ac:dyDescent="0.2">
      <c r="D4234" s="148"/>
      <c r="E4234" s="154"/>
    </row>
    <row r="4235" spans="4:5" x14ac:dyDescent="0.2">
      <c r="D4235" s="148"/>
      <c r="E4235" s="154"/>
    </row>
    <row r="4236" spans="4:5" x14ac:dyDescent="0.2">
      <c r="D4236" s="148"/>
      <c r="E4236" s="154"/>
    </row>
    <row r="4237" spans="4:5" x14ac:dyDescent="0.2">
      <c r="D4237" s="148"/>
      <c r="E4237" s="154"/>
    </row>
    <row r="4238" spans="4:5" x14ac:dyDescent="0.2">
      <c r="D4238" s="148"/>
      <c r="E4238" s="154"/>
    </row>
    <row r="4239" spans="4:5" x14ac:dyDescent="0.2">
      <c r="D4239" s="148"/>
      <c r="E4239" s="154"/>
    </row>
    <row r="4240" spans="4:5" x14ac:dyDescent="0.2">
      <c r="D4240" s="148"/>
      <c r="E4240" s="154"/>
    </row>
    <row r="4241" spans="4:5" x14ac:dyDescent="0.2">
      <c r="D4241" s="148"/>
      <c r="E4241" s="154"/>
    </row>
    <row r="4242" spans="4:5" x14ac:dyDescent="0.2">
      <c r="D4242" s="148"/>
      <c r="E4242" s="154"/>
    </row>
    <row r="4243" spans="4:5" x14ac:dyDescent="0.2">
      <c r="D4243" s="148"/>
      <c r="E4243" s="154"/>
    </row>
    <row r="4244" spans="4:5" x14ac:dyDescent="0.2">
      <c r="D4244" s="148"/>
      <c r="E4244" s="154"/>
    </row>
    <row r="4245" spans="4:5" x14ac:dyDescent="0.2">
      <c r="D4245" s="148"/>
      <c r="E4245" s="154"/>
    </row>
    <row r="4246" spans="4:5" x14ac:dyDescent="0.2">
      <c r="D4246" s="148"/>
      <c r="E4246" s="154"/>
    </row>
    <row r="4247" spans="4:5" x14ac:dyDescent="0.2">
      <c r="D4247" s="148"/>
      <c r="E4247" s="154"/>
    </row>
    <row r="4248" spans="4:5" x14ac:dyDescent="0.2">
      <c r="D4248" s="148"/>
      <c r="E4248" s="154"/>
    </row>
    <row r="4249" spans="4:5" x14ac:dyDescent="0.2">
      <c r="D4249" s="148"/>
      <c r="E4249" s="154"/>
    </row>
    <row r="4250" spans="4:5" x14ac:dyDescent="0.2">
      <c r="D4250" s="148"/>
      <c r="E4250" s="154"/>
    </row>
    <row r="4251" spans="4:5" x14ac:dyDescent="0.2">
      <c r="D4251" s="148"/>
      <c r="E4251" s="154"/>
    </row>
    <row r="4252" spans="4:5" x14ac:dyDescent="0.2">
      <c r="D4252" s="148"/>
      <c r="E4252" s="154"/>
    </row>
    <row r="4253" spans="4:5" x14ac:dyDescent="0.2">
      <c r="D4253" s="148"/>
      <c r="E4253" s="154"/>
    </row>
    <row r="4254" spans="4:5" x14ac:dyDescent="0.2">
      <c r="D4254" s="148"/>
      <c r="E4254" s="154"/>
    </row>
    <row r="4255" spans="4:5" x14ac:dyDescent="0.2">
      <c r="D4255" s="148"/>
      <c r="E4255" s="154"/>
    </row>
    <row r="4256" spans="4:5" x14ac:dyDescent="0.2">
      <c r="D4256" s="148"/>
      <c r="E4256" s="154"/>
    </row>
    <row r="4257" spans="4:5" x14ac:dyDescent="0.2">
      <c r="D4257" s="148"/>
      <c r="E4257" s="154"/>
    </row>
    <row r="4258" spans="4:5" x14ac:dyDescent="0.2">
      <c r="D4258" s="148"/>
      <c r="E4258" s="154"/>
    </row>
    <row r="4259" spans="4:5" x14ac:dyDescent="0.2">
      <c r="D4259" s="148"/>
      <c r="E4259" s="154"/>
    </row>
    <row r="4260" spans="4:5" x14ac:dyDescent="0.2">
      <c r="D4260" s="148"/>
      <c r="E4260" s="154"/>
    </row>
    <row r="4261" spans="4:5" x14ac:dyDescent="0.2">
      <c r="D4261" s="148"/>
      <c r="E4261" s="154"/>
    </row>
    <row r="4262" spans="4:5" x14ac:dyDescent="0.2">
      <c r="D4262" s="148"/>
      <c r="E4262" s="154"/>
    </row>
    <row r="4263" spans="4:5" x14ac:dyDescent="0.2">
      <c r="D4263" s="148"/>
      <c r="E4263" s="154"/>
    </row>
    <row r="4264" spans="4:5" x14ac:dyDescent="0.2">
      <c r="D4264" s="148"/>
      <c r="E4264" s="154"/>
    </row>
    <row r="4265" spans="4:5" x14ac:dyDescent="0.2">
      <c r="D4265" s="148"/>
      <c r="E4265" s="154"/>
    </row>
    <row r="4266" spans="4:5" x14ac:dyDescent="0.2">
      <c r="D4266" s="148"/>
      <c r="E4266" s="154"/>
    </row>
    <row r="4267" spans="4:5" x14ac:dyDescent="0.2">
      <c r="D4267" s="148"/>
      <c r="E4267" s="154"/>
    </row>
    <row r="4268" spans="4:5" x14ac:dyDescent="0.2">
      <c r="D4268" s="148"/>
      <c r="E4268" s="154"/>
    </row>
    <row r="4269" spans="4:5" x14ac:dyDescent="0.2">
      <c r="D4269" s="148"/>
      <c r="E4269" s="154"/>
    </row>
    <row r="4270" spans="4:5" x14ac:dyDescent="0.2">
      <c r="D4270" s="148"/>
      <c r="E4270" s="154"/>
    </row>
    <row r="4271" spans="4:5" x14ac:dyDescent="0.2">
      <c r="D4271" s="148"/>
      <c r="E4271" s="154"/>
    </row>
    <row r="4272" spans="4:5" x14ac:dyDescent="0.2">
      <c r="D4272" s="148"/>
      <c r="E4272" s="154"/>
    </row>
    <row r="4273" spans="4:5" x14ac:dyDescent="0.2">
      <c r="D4273" s="148"/>
      <c r="E4273" s="154"/>
    </row>
    <row r="4274" spans="4:5" x14ac:dyDescent="0.2">
      <c r="D4274" s="148"/>
      <c r="E4274" s="154"/>
    </row>
    <row r="4275" spans="4:5" x14ac:dyDescent="0.2">
      <c r="D4275" s="148"/>
      <c r="E4275" s="154"/>
    </row>
    <row r="4276" spans="4:5" x14ac:dyDescent="0.2">
      <c r="D4276" s="148"/>
      <c r="E4276" s="154"/>
    </row>
    <row r="4277" spans="4:5" x14ac:dyDescent="0.2">
      <c r="D4277" s="148"/>
      <c r="E4277" s="154"/>
    </row>
    <row r="4278" spans="4:5" x14ac:dyDescent="0.2">
      <c r="D4278" s="148"/>
      <c r="E4278" s="154"/>
    </row>
    <row r="4279" spans="4:5" x14ac:dyDescent="0.2">
      <c r="D4279" s="148"/>
      <c r="E4279" s="154"/>
    </row>
    <row r="4280" spans="4:5" x14ac:dyDescent="0.2">
      <c r="D4280" s="148"/>
      <c r="E4280" s="154"/>
    </row>
    <row r="4281" spans="4:5" x14ac:dyDescent="0.2">
      <c r="D4281" s="148"/>
      <c r="E4281" s="154"/>
    </row>
    <row r="4282" spans="4:5" x14ac:dyDescent="0.2">
      <c r="D4282" s="148"/>
      <c r="E4282" s="154"/>
    </row>
    <row r="4283" spans="4:5" x14ac:dyDescent="0.2">
      <c r="D4283" s="148"/>
      <c r="E4283" s="154"/>
    </row>
    <row r="4284" spans="4:5" x14ac:dyDescent="0.2">
      <c r="D4284" s="148"/>
      <c r="E4284" s="154"/>
    </row>
    <row r="4285" spans="4:5" x14ac:dyDescent="0.2">
      <c r="D4285" s="148"/>
      <c r="E4285" s="154"/>
    </row>
    <row r="4286" spans="4:5" x14ac:dyDescent="0.2">
      <c r="D4286" s="148"/>
      <c r="E4286" s="154"/>
    </row>
    <row r="4287" spans="4:5" x14ac:dyDescent="0.2">
      <c r="D4287" s="148"/>
      <c r="E4287" s="154"/>
    </row>
    <row r="4288" spans="4:5" x14ac:dyDescent="0.2">
      <c r="D4288" s="148"/>
      <c r="E4288" s="154"/>
    </row>
    <row r="4289" spans="4:5" x14ac:dyDescent="0.2">
      <c r="D4289" s="148"/>
      <c r="E4289" s="154"/>
    </row>
    <row r="4290" spans="4:5" x14ac:dyDescent="0.2">
      <c r="D4290" s="148"/>
      <c r="E4290" s="154"/>
    </row>
    <row r="4291" spans="4:5" x14ac:dyDescent="0.2">
      <c r="D4291" s="148"/>
      <c r="E4291" s="154"/>
    </row>
    <row r="4292" spans="4:5" x14ac:dyDescent="0.2">
      <c r="D4292" s="148"/>
      <c r="E4292" s="154"/>
    </row>
    <row r="4293" spans="4:5" x14ac:dyDescent="0.2">
      <c r="D4293" s="148"/>
      <c r="E4293" s="154"/>
    </row>
    <row r="4294" spans="4:5" x14ac:dyDescent="0.2">
      <c r="D4294" s="148"/>
      <c r="E4294" s="154"/>
    </row>
    <row r="4295" spans="4:5" x14ac:dyDescent="0.2">
      <c r="D4295" s="148"/>
      <c r="E4295" s="154"/>
    </row>
    <row r="4296" spans="4:5" x14ac:dyDescent="0.2">
      <c r="D4296" s="148"/>
      <c r="E4296" s="154"/>
    </row>
    <row r="4297" spans="4:5" x14ac:dyDescent="0.2">
      <c r="D4297" s="148"/>
      <c r="E4297" s="154"/>
    </row>
    <row r="4298" spans="4:5" x14ac:dyDescent="0.2">
      <c r="D4298" s="148"/>
      <c r="E4298" s="154"/>
    </row>
    <row r="4299" spans="4:5" x14ac:dyDescent="0.2">
      <c r="D4299" s="148"/>
      <c r="E4299" s="154"/>
    </row>
    <row r="4300" spans="4:5" x14ac:dyDescent="0.2">
      <c r="D4300" s="148"/>
      <c r="E4300" s="154"/>
    </row>
    <row r="4301" spans="4:5" x14ac:dyDescent="0.2">
      <c r="D4301" s="148"/>
      <c r="E4301" s="154"/>
    </row>
    <row r="4302" spans="4:5" x14ac:dyDescent="0.2">
      <c r="D4302" s="148"/>
      <c r="E4302" s="154"/>
    </row>
    <row r="4303" spans="4:5" x14ac:dyDescent="0.2">
      <c r="D4303" s="148"/>
      <c r="E4303" s="154"/>
    </row>
    <row r="4304" spans="4:5" x14ac:dyDescent="0.2">
      <c r="D4304" s="148"/>
      <c r="E4304" s="154"/>
    </row>
    <row r="4305" spans="4:5" x14ac:dyDescent="0.2">
      <c r="D4305" s="148"/>
      <c r="E4305" s="154"/>
    </row>
    <row r="4306" spans="4:5" x14ac:dyDescent="0.2">
      <c r="D4306" s="148"/>
      <c r="E4306" s="154"/>
    </row>
    <row r="4307" spans="4:5" x14ac:dyDescent="0.2">
      <c r="D4307" s="148"/>
      <c r="E4307" s="154"/>
    </row>
    <row r="4308" spans="4:5" x14ac:dyDescent="0.2">
      <c r="D4308" s="148"/>
      <c r="E4308" s="154"/>
    </row>
    <row r="4309" spans="4:5" x14ac:dyDescent="0.2">
      <c r="D4309" s="148"/>
      <c r="E4309" s="154"/>
    </row>
    <row r="4310" spans="4:5" x14ac:dyDescent="0.2">
      <c r="D4310" s="148"/>
      <c r="E4310" s="154"/>
    </row>
    <row r="4311" spans="4:5" x14ac:dyDescent="0.2">
      <c r="D4311" s="148"/>
      <c r="E4311" s="154"/>
    </row>
    <row r="4312" spans="4:5" x14ac:dyDescent="0.2">
      <c r="D4312" s="148"/>
      <c r="E4312" s="154"/>
    </row>
    <row r="4313" spans="4:5" x14ac:dyDescent="0.2">
      <c r="D4313" s="148"/>
      <c r="E4313" s="154"/>
    </row>
    <row r="4314" spans="4:5" x14ac:dyDescent="0.2">
      <c r="D4314" s="148"/>
      <c r="E4314" s="154"/>
    </row>
    <row r="4315" spans="4:5" x14ac:dyDescent="0.2">
      <c r="D4315" s="148"/>
      <c r="E4315" s="154"/>
    </row>
    <row r="4316" spans="4:5" x14ac:dyDescent="0.2">
      <c r="D4316" s="148"/>
      <c r="E4316" s="154"/>
    </row>
    <row r="4317" spans="4:5" x14ac:dyDescent="0.2">
      <c r="D4317" s="148"/>
      <c r="E4317" s="154"/>
    </row>
    <row r="4318" spans="4:5" x14ac:dyDescent="0.2">
      <c r="D4318" s="148"/>
      <c r="E4318" s="154"/>
    </row>
    <row r="4319" spans="4:5" x14ac:dyDescent="0.2">
      <c r="D4319" s="148"/>
      <c r="E4319" s="154"/>
    </row>
    <row r="4320" spans="4:5" x14ac:dyDescent="0.2">
      <c r="D4320" s="148"/>
      <c r="E4320" s="154"/>
    </row>
    <row r="4321" spans="4:5" x14ac:dyDescent="0.2">
      <c r="D4321" s="148"/>
      <c r="E4321" s="154"/>
    </row>
    <row r="4322" spans="4:5" x14ac:dyDescent="0.2">
      <c r="D4322" s="148"/>
      <c r="E4322" s="154"/>
    </row>
    <row r="4323" spans="4:5" x14ac:dyDescent="0.2">
      <c r="D4323" s="148"/>
      <c r="E4323" s="154"/>
    </row>
    <row r="4324" spans="4:5" x14ac:dyDescent="0.2">
      <c r="D4324" s="148"/>
      <c r="E4324" s="154"/>
    </row>
    <row r="4325" spans="4:5" x14ac:dyDescent="0.2">
      <c r="D4325" s="148"/>
      <c r="E4325" s="154"/>
    </row>
    <row r="4326" spans="4:5" x14ac:dyDescent="0.2">
      <c r="D4326" s="148"/>
      <c r="E4326" s="154"/>
    </row>
    <row r="4327" spans="4:5" x14ac:dyDescent="0.2">
      <c r="D4327" s="148"/>
      <c r="E4327" s="154"/>
    </row>
    <row r="4328" spans="4:5" x14ac:dyDescent="0.2">
      <c r="D4328" s="148"/>
      <c r="E4328" s="154"/>
    </row>
    <row r="4329" spans="4:5" x14ac:dyDescent="0.2">
      <c r="D4329" s="148"/>
      <c r="E4329" s="154"/>
    </row>
    <row r="4330" spans="4:5" x14ac:dyDescent="0.2">
      <c r="D4330" s="148"/>
      <c r="E4330" s="154"/>
    </row>
    <row r="4331" spans="4:5" x14ac:dyDescent="0.2">
      <c r="D4331" s="148"/>
      <c r="E4331" s="154"/>
    </row>
    <row r="4332" spans="4:5" x14ac:dyDescent="0.2">
      <c r="D4332" s="148"/>
      <c r="E4332" s="154"/>
    </row>
    <row r="4333" spans="4:5" x14ac:dyDescent="0.2">
      <c r="D4333" s="148"/>
      <c r="E4333" s="154"/>
    </row>
    <row r="4334" spans="4:5" x14ac:dyDescent="0.2">
      <c r="D4334" s="148"/>
      <c r="E4334" s="154"/>
    </row>
    <row r="4335" spans="4:5" x14ac:dyDescent="0.2">
      <c r="D4335" s="148"/>
      <c r="E4335" s="154"/>
    </row>
    <row r="4336" spans="4:5" x14ac:dyDescent="0.2">
      <c r="D4336" s="148"/>
      <c r="E4336" s="154"/>
    </row>
    <row r="4337" spans="4:5" x14ac:dyDescent="0.2">
      <c r="D4337" s="148"/>
      <c r="E4337" s="154"/>
    </row>
    <row r="4338" spans="4:5" x14ac:dyDescent="0.2">
      <c r="D4338" s="148"/>
      <c r="E4338" s="154"/>
    </row>
    <row r="4339" spans="4:5" x14ac:dyDescent="0.2">
      <c r="D4339" s="148"/>
      <c r="E4339" s="154"/>
    </row>
    <row r="4340" spans="4:5" x14ac:dyDescent="0.2">
      <c r="D4340" s="148"/>
      <c r="E4340" s="154"/>
    </row>
    <row r="4341" spans="4:5" x14ac:dyDescent="0.2">
      <c r="D4341" s="148"/>
      <c r="E4341" s="154"/>
    </row>
    <row r="4342" spans="4:5" x14ac:dyDescent="0.2">
      <c r="D4342" s="148"/>
      <c r="E4342" s="154"/>
    </row>
    <row r="4343" spans="4:5" x14ac:dyDescent="0.2">
      <c r="D4343" s="148"/>
      <c r="E4343" s="154"/>
    </row>
    <row r="4344" spans="4:5" x14ac:dyDescent="0.2">
      <c r="D4344" s="148"/>
      <c r="E4344" s="154"/>
    </row>
    <row r="4345" spans="4:5" x14ac:dyDescent="0.2">
      <c r="D4345" s="148"/>
      <c r="E4345" s="154"/>
    </row>
    <row r="4346" spans="4:5" x14ac:dyDescent="0.2">
      <c r="D4346" s="148"/>
      <c r="E4346" s="154"/>
    </row>
    <row r="4347" spans="4:5" x14ac:dyDescent="0.2">
      <c r="D4347" s="148"/>
      <c r="E4347" s="154"/>
    </row>
    <row r="4348" spans="4:5" x14ac:dyDescent="0.2">
      <c r="D4348" s="148"/>
      <c r="E4348" s="154"/>
    </row>
    <row r="4349" spans="4:5" x14ac:dyDescent="0.2">
      <c r="D4349" s="148"/>
      <c r="E4349" s="154"/>
    </row>
    <row r="4350" spans="4:5" x14ac:dyDescent="0.2">
      <c r="D4350" s="148"/>
      <c r="E4350" s="154"/>
    </row>
    <row r="4351" spans="4:5" x14ac:dyDescent="0.2">
      <c r="D4351" s="148"/>
      <c r="E4351" s="154"/>
    </row>
    <row r="4352" spans="4:5" x14ac:dyDescent="0.2">
      <c r="D4352" s="148"/>
      <c r="E4352" s="154"/>
    </row>
    <row r="4353" spans="4:5" x14ac:dyDescent="0.2">
      <c r="D4353" s="148"/>
      <c r="E4353" s="154"/>
    </row>
    <row r="4354" spans="4:5" x14ac:dyDescent="0.2">
      <c r="D4354" s="148"/>
      <c r="E4354" s="154"/>
    </row>
    <row r="4355" spans="4:5" x14ac:dyDescent="0.2">
      <c r="D4355" s="148"/>
      <c r="E4355" s="154"/>
    </row>
    <row r="4356" spans="4:5" x14ac:dyDescent="0.2">
      <c r="D4356" s="148"/>
      <c r="E4356" s="154"/>
    </row>
    <row r="4357" spans="4:5" x14ac:dyDescent="0.2">
      <c r="D4357" s="148"/>
      <c r="E4357" s="154"/>
    </row>
    <row r="4358" spans="4:5" x14ac:dyDescent="0.2">
      <c r="D4358" s="148"/>
      <c r="E4358" s="154"/>
    </row>
    <row r="4359" spans="4:5" x14ac:dyDescent="0.2">
      <c r="D4359" s="148"/>
      <c r="E4359" s="154"/>
    </row>
    <row r="4360" spans="4:5" x14ac:dyDescent="0.2">
      <c r="D4360" s="148"/>
      <c r="E4360" s="154"/>
    </row>
    <row r="4361" spans="4:5" x14ac:dyDescent="0.2">
      <c r="D4361" s="148"/>
      <c r="E4361" s="154"/>
    </row>
    <row r="4362" spans="4:5" x14ac:dyDescent="0.2">
      <c r="D4362" s="148"/>
      <c r="E4362" s="154"/>
    </row>
    <row r="4363" spans="4:5" x14ac:dyDescent="0.2">
      <c r="D4363" s="148"/>
      <c r="E4363" s="154"/>
    </row>
    <row r="4364" spans="4:5" x14ac:dyDescent="0.2">
      <c r="D4364" s="148"/>
      <c r="E4364" s="154"/>
    </row>
    <row r="4365" spans="4:5" x14ac:dyDescent="0.2">
      <c r="D4365" s="148"/>
      <c r="E4365" s="154"/>
    </row>
    <row r="4366" spans="4:5" x14ac:dyDescent="0.2">
      <c r="D4366" s="148"/>
      <c r="E4366" s="154"/>
    </row>
    <row r="4367" spans="4:5" x14ac:dyDescent="0.2">
      <c r="D4367" s="148"/>
      <c r="E4367" s="154"/>
    </row>
    <row r="4368" spans="4:5" x14ac:dyDescent="0.2">
      <c r="D4368" s="148"/>
      <c r="E4368" s="154"/>
    </row>
    <row r="4369" spans="4:5" x14ac:dyDescent="0.2">
      <c r="D4369" s="148"/>
      <c r="E4369" s="154"/>
    </row>
    <row r="4370" spans="4:5" x14ac:dyDescent="0.2">
      <c r="D4370" s="148"/>
      <c r="E4370" s="154"/>
    </row>
    <row r="4371" spans="4:5" x14ac:dyDescent="0.2">
      <c r="D4371" s="148"/>
      <c r="E4371" s="154"/>
    </row>
    <row r="4372" spans="4:5" x14ac:dyDescent="0.2">
      <c r="D4372" s="148"/>
      <c r="E4372" s="154"/>
    </row>
    <row r="4373" spans="4:5" x14ac:dyDescent="0.2">
      <c r="D4373" s="148"/>
      <c r="E4373" s="154"/>
    </row>
    <row r="4374" spans="4:5" x14ac:dyDescent="0.2">
      <c r="D4374" s="148"/>
      <c r="E4374" s="154"/>
    </row>
    <row r="4375" spans="4:5" x14ac:dyDescent="0.2">
      <c r="D4375" s="148"/>
      <c r="E4375" s="154"/>
    </row>
    <row r="4376" spans="4:5" x14ac:dyDescent="0.2">
      <c r="D4376" s="148"/>
      <c r="E4376" s="154"/>
    </row>
    <row r="4377" spans="4:5" x14ac:dyDescent="0.2">
      <c r="D4377" s="148"/>
      <c r="E4377" s="154"/>
    </row>
    <row r="4378" spans="4:5" x14ac:dyDescent="0.2">
      <c r="D4378" s="148"/>
      <c r="E4378" s="154"/>
    </row>
    <row r="4379" spans="4:5" x14ac:dyDescent="0.2">
      <c r="D4379" s="148"/>
      <c r="E4379" s="154"/>
    </row>
    <row r="4380" spans="4:5" x14ac:dyDescent="0.2">
      <c r="D4380" s="148"/>
      <c r="E4380" s="154"/>
    </row>
    <row r="4381" spans="4:5" x14ac:dyDescent="0.2">
      <c r="D4381" s="148"/>
      <c r="E4381" s="154"/>
    </row>
    <row r="4382" spans="4:5" x14ac:dyDescent="0.2">
      <c r="D4382" s="148"/>
      <c r="E4382" s="154"/>
    </row>
    <row r="4383" spans="4:5" x14ac:dyDescent="0.2">
      <c r="D4383" s="148"/>
      <c r="E4383" s="154"/>
    </row>
    <row r="4384" spans="4:5" x14ac:dyDescent="0.2">
      <c r="D4384" s="148"/>
      <c r="E4384" s="154"/>
    </row>
    <row r="4385" spans="4:5" x14ac:dyDescent="0.2">
      <c r="D4385" s="148"/>
      <c r="E4385" s="154"/>
    </row>
    <row r="4386" spans="4:5" x14ac:dyDescent="0.2">
      <c r="D4386" s="148"/>
      <c r="E4386" s="154"/>
    </row>
    <row r="4387" spans="4:5" x14ac:dyDescent="0.2">
      <c r="D4387" s="148"/>
      <c r="E4387" s="154"/>
    </row>
    <row r="4388" spans="4:5" x14ac:dyDescent="0.2">
      <c r="D4388" s="148"/>
      <c r="E4388" s="154"/>
    </row>
    <row r="4389" spans="4:5" x14ac:dyDescent="0.2">
      <c r="D4389" s="148"/>
      <c r="E4389" s="154"/>
    </row>
    <row r="4390" spans="4:5" x14ac:dyDescent="0.2">
      <c r="D4390" s="148"/>
      <c r="E4390" s="154"/>
    </row>
    <row r="4391" spans="4:5" x14ac:dyDescent="0.2">
      <c r="D4391" s="148"/>
      <c r="E4391" s="154"/>
    </row>
    <row r="4392" spans="4:5" x14ac:dyDescent="0.2">
      <c r="D4392" s="148"/>
      <c r="E4392" s="154"/>
    </row>
    <row r="4393" spans="4:5" x14ac:dyDescent="0.2">
      <c r="D4393" s="148"/>
      <c r="E4393" s="154"/>
    </row>
    <row r="4394" spans="4:5" x14ac:dyDescent="0.2">
      <c r="D4394" s="148"/>
      <c r="E4394" s="154"/>
    </row>
    <row r="4395" spans="4:5" x14ac:dyDescent="0.2">
      <c r="D4395" s="148"/>
      <c r="E4395" s="154"/>
    </row>
    <row r="4396" spans="4:5" x14ac:dyDescent="0.2">
      <c r="D4396" s="148"/>
      <c r="E4396" s="154"/>
    </row>
    <row r="4397" spans="4:5" x14ac:dyDescent="0.2">
      <c r="D4397" s="148"/>
      <c r="E4397" s="154"/>
    </row>
    <row r="4398" spans="4:5" x14ac:dyDescent="0.2">
      <c r="D4398" s="148"/>
      <c r="E4398" s="154"/>
    </row>
    <row r="4399" spans="4:5" x14ac:dyDescent="0.2">
      <c r="D4399" s="148"/>
      <c r="E4399" s="154"/>
    </row>
    <row r="4400" spans="4:5" x14ac:dyDescent="0.2">
      <c r="D4400" s="148"/>
      <c r="E4400" s="154"/>
    </row>
    <row r="4401" spans="4:5" x14ac:dyDescent="0.2">
      <c r="D4401" s="148"/>
      <c r="E4401" s="154"/>
    </row>
    <row r="4402" spans="4:5" x14ac:dyDescent="0.2">
      <c r="D4402" s="148"/>
      <c r="E4402" s="154"/>
    </row>
    <row r="4403" spans="4:5" x14ac:dyDescent="0.2">
      <c r="D4403" s="148"/>
      <c r="E4403" s="154"/>
    </row>
    <row r="4404" spans="4:5" x14ac:dyDescent="0.2">
      <c r="D4404" s="148"/>
      <c r="E4404" s="154"/>
    </row>
    <row r="4405" spans="4:5" x14ac:dyDescent="0.2">
      <c r="D4405" s="148"/>
      <c r="E4405" s="154"/>
    </row>
    <row r="4406" spans="4:5" x14ac:dyDescent="0.2">
      <c r="D4406" s="148"/>
      <c r="E4406" s="154"/>
    </row>
    <row r="4407" spans="4:5" x14ac:dyDescent="0.2">
      <c r="D4407" s="148"/>
      <c r="E4407" s="154"/>
    </row>
    <row r="4408" spans="4:5" x14ac:dyDescent="0.2">
      <c r="D4408" s="148"/>
      <c r="E4408" s="154"/>
    </row>
    <row r="4409" spans="4:5" x14ac:dyDescent="0.2">
      <c r="D4409" s="148"/>
      <c r="E4409" s="154"/>
    </row>
    <row r="4410" spans="4:5" x14ac:dyDescent="0.2">
      <c r="D4410" s="148"/>
      <c r="E4410" s="154"/>
    </row>
    <row r="4411" spans="4:5" x14ac:dyDescent="0.2">
      <c r="D4411" s="148"/>
      <c r="E4411" s="154"/>
    </row>
    <row r="4412" spans="4:5" x14ac:dyDescent="0.2">
      <c r="D4412" s="148"/>
      <c r="E4412" s="154"/>
    </row>
    <row r="4413" spans="4:5" x14ac:dyDescent="0.2">
      <c r="D4413" s="148"/>
      <c r="E4413" s="154"/>
    </row>
    <row r="4414" spans="4:5" x14ac:dyDescent="0.2">
      <c r="D4414" s="148"/>
      <c r="E4414" s="154"/>
    </row>
    <row r="4415" spans="4:5" x14ac:dyDescent="0.2">
      <c r="D4415" s="148"/>
      <c r="E4415" s="154"/>
    </row>
    <row r="4416" spans="4:5" x14ac:dyDescent="0.2">
      <c r="D4416" s="148"/>
      <c r="E4416" s="154"/>
    </row>
    <row r="4417" spans="4:5" x14ac:dyDescent="0.2">
      <c r="D4417" s="148"/>
      <c r="E4417" s="154"/>
    </row>
    <row r="4418" spans="4:5" x14ac:dyDescent="0.2">
      <c r="D4418" s="148"/>
      <c r="E4418" s="154"/>
    </row>
    <row r="4419" spans="4:5" x14ac:dyDescent="0.2">
      <c r="D4419" s="148"/>
      <c r="E4419" s="154"/>
    </row>
    <row r="4420" spans="4:5" x14ac:dyDescent="0.2">
      <c r="D4420" s="148"/>
      <c r="E4420" s="154"/>
    </row>
    <row r="4421" spans="4:5" x14ac:dyDescent="0.2">
      <c r="D4421" s="148"/>
      <c r="E4421" s="154"/>
    </row>
    <row r="4422" spans="4:5" x14ac:dyDescent="0.2">
      <c r="D4422" s="148"/>
      <c r="E4422" s="154"/>
    </row>
    <row r="4423" spans="4:5" x14ac:dyDescent="0.2">
      <c r="D4423" s="148"/>
      <c r="E4423" s="154"/>
    </row>
    <row r="4424" spans="4:5" x14ac:dyDescent="0.2">
      <c r="D4424" s="148"/>
      <c r="E4424" s="154"/>
    </row>
    <row r="4425" spans="4:5" x14ac:dyDescent="0.2">
      <c r="D4425" s="148"/>
      <c r="E4425" s="154"/>
    </row>
    <row r="4426" spans="4:5" x14ac:dyDescent="0.2">
      <c r="D4426" s="148"/>
      <c r="E4426" s="154"/>
    </row>
    <row r="4427" spans="4:5" x14ac:dyDescent="0.2">
      <c r="D4427" s="148"/>
      <c r="E4427" s="154"/>
    </row>
    <row r="4428" spans="4:5" x14ac:dyDescent="0.2">
      <c r="D4428" s="148"/>
      <c r="E4428" s="154"/>
    </row>
    <row r="4429" spans="4:5" x14ac:dyDescent="0.2">
      <c r="D4429" s="148"/>
      <c r="E4429" s="154"/>
    </row>
    <row r="4430" spans="4:5" x14ac:dyDescent="0.2">
      <c r="D4430" s="148"/>
      <c r="E4430" s="154"/>
    </row>
    <row r="4431" spans="4:5" x14ac:dyDescent="0.2">
      <c r="D4431" s="148"/>
      <c r="E4431" s="154"/>
    </row>
    <row r="4432" spans="4:5" x14ac:dyDescent="0.2">
      <c r="D4432" s="148"/>
      <c r="E4432" s="154"/>
    </row>
    <row r="4433" spans="4:5" x14ac:dyDescent="0.2">
      <c r="D4433" s="148"/>
      <c r="E4433" s="154"/>
    </row>
    <row r="4434" spans="4:5" x14ac:dyDescent="0.2">
      <c r="D4434" s="148"/>
      <c r="E4434" s="154"/>
    </row>
    <row r="4435" spans="4:5" x14ac:dyDescent="0.2">
      <c r="D4435" s="148"/>
      <c r="E4435" s="154"/>
    </row>
    <row r="4436" spans="4:5" x14ac:dyDescent="0.2">
      <c r="D4436" s="148"/>
      <c r="E4436" s="154"/>
    </row>
    <row r="4437" spans="4:5" x14ac:dyDescent="0.2">
      <c r="D4437" s="148"/>
      <c r="E4437" s="154"/>
    </row>
    <row r="4438" spans="4:5" x14ac:dyDescent="0.2">
      <c r="D4438" s="148"/>
      <c r="E4438" s="154"/>
    </row>
    <row r="4439" spans="4:5" x14ac:dyDescent="0.2">
      <c r="D4439" s="148"/>
      <c r="E4439" s="154"/>
    </row>
    <row r="4440" spans="4:5" x14ac:dyDescent="0.2">
      <c r="D4440" s="148"/>
      <c r="E4440" s="154"/>
    </row>
    <row r="4441" spans="4:5" x14ac:dyDescent="0.2">
      <c r="D4441" s="148"/>
      <c r="E4441" s="154"/>
    </row>
    <row r="4442" spans="4:5" x14ac:dyDescent="0.2">
      <c r="D4442" s="148"/>
      <c r="E4442" s="154"/>
    </row>
    <row r="4443" spans="4:5" x14ac:dyDescent="0.2">
      <c r="D4443" s="148"/>
      <c r="E4443" s="154"/>
    </row>
    <row r="4444" spans="4:5" x14ac:dyDescent="0.2">
      <c r="D4444" s="148"/>
      <c r="E4444" s="154"/>
    </row>
    <row r="4445" spans="4:5" x14ac:dyDescent="0.2">
      <c r="D4445" s="148"/>
      <c r="E4445" s="154"/>
    </row>
    <row r="4446" spans="4:5" x14ac:dyDescent="0.2">
      <c r="D4446" s="148"/>
      <c r="E4446" s="154"/>
    </row>
    <row r="4447" spans="4:5" x14ac:dyDescent="0.2">
      <c r="D4447" s="148"/>
      <c r="E4447" s="154"/>
    </row>
    <row r="4448" spans="4:5" x14ac:dyDescent="0.2">
      <c r="D4448" s="148"/>
      <c r="E4448" s="154"/>
    </row>
    <row r="4449" spans="4:5" x14ac:dyDescent="0.2">
      <c r="D4449" s="148"/>
      <c r="E4449" s="154"/>
    </row>
    <row r="4450" spans="4:5" x14ac:dyDescent="0.2">
      <c r="D4450" s="148"/>
      <c r="E4450" s="154"/>
    </row>
    <row r="4451" spans="4:5" x14ac:dyDescent="0.2">
      <c r="D4451" s="148"/>
      <c r="E4451" s="154"/>
    </row>
    <row r="4452" spans="4:5" x14ac:dyDescent="0.2">
      <c r="D4452" s="148"/>
      <c r="E4452" s="154"/>
    </row>
    <row r="4453" spans="4:5" x14ac:dyDescent="0.2">
      <c r="D4453" s="148"/>
      <c r="E4453" s="154"/>
    </row>
    <row r="4454" spans="4:5" x14ac:dyDescent="0.2">
      <c r="D4454" s="148"/>
      <c r="E4454" s="154"/>
    </row>
    <row r="4455" spans="4:5" x14ac:dyDescent="0.2">
      <c r="D4455" s="148"/>
      <c r="E4455" s="154"/>
    </row>
    <row r="4456" spans="4:5" x14ac:dyDescent="0.2">
      <c r="D4456" s="148"/>
      <c r="E4456" s="154"/>
    </row>
    <row r="4457" spans="4:5" x14ac:dyDescent="0.2">
      <c r="D4457" s="148"/>
      <c r="E4457" s="154"/>
    </row>
    <row r="4458" spans="4:5" x14ac:dyDescent="0.2">
      <c r="D4458" s="148"/>
      <c r="E4458" s="154"/>
    </row>
    <row r="4459" spans="4:5" x14ac:dyDescent="0.2">
      <c r="D4459" s="148"/>
      <c r="E4459" s="154"/>
    </row>
    <row r="4460" spans="4:5" x14ac:dyDescent="0.2">
      <c r="D4460" s="148"/>
      <c r="E4460" s="154"/>
    </row>
    <row r="4461" spans="4:5" x14ac:dyDescent="0.2">
      <c r="D4461" s="148"/>
      <c r="E4461" s="154"/>
    </row>
    <row r="4462" spans="4:5" x14ac:dyDescent="0.2">
      <c r="D4462" s="148"/>
      <c r="E4462" s="154"/>
    </row>
    <row r="4463" spans="4:5" x14ac:dyDescent="0.2">
      <c r="D4463" s="148"/>
      <c r="E4463" s="154"/>
    </row>
    <row r="4464" spans="4:5" x14ac:dyDescent="0.2">
      <c r="D4464" s="148"/>
      <c r="E4464" s="154"/>
    </row>
    <row r="4465" spans="4:5" x14ac:dyDescent="0.2">
      <c r="D4465" s="148"/>
      <c r="E4465" s="154"/>
    </row>
    <row r="4466" spans="4:5" x14ac:dyDescent="0.2">
      <c r="D4466" s="148"/>
      <c r="E4466" s="154"/>
    </row>
    <row r="4467" spans="4:5" x14ac:dyDescent="0.2">
      <c r="D4467" s="148"/>
      <c r="E4467" s="154"/>
    </row>
    <row r="4468" spans="4:5" x14ac:dyDescent="0.2">
      <c r="D4468" s="148"/>
      <c r="E4468" s="154"/>
    </row>
    <row r="4469" spans="4:5" x14ac:dyDescent="0.2">
      <c r="D4469" s="148"/>
      <c r="E4469" s="154"/>
    </row>
    <row r="4470" spans="4:5" x14ac:dyDescent="0.2">
      <c r="D4470" s="148"/>
      <c r="E4470" s="154"/>
    </row>
    <row r="4471" spans="4:5" x14ac:dyDescent="0.2">
      <c r="D4471" s="148"/>
      <c r="E4471" s="154"/>
    </row>
    <row r="4472" spans="4:5" x14ac:dyDescent="0.2">
      <c r="D4472" s="148"/>
      <c r="E4472" s="154"/>
    </row>
    <row r="4473" spans="4:5" x14ac:dyDescent="0.2">
      <c r="D4473" s="148"/>
      <c r="E4473" s="154"/>
    </row>
    <row r="4474" spans="4:5" x14ac:dyDescent="0.2">
      <c r="D4474" s="148"/>
      <c r="E4474" s="154"/>
    </row>
    <row r="4475" spans="4:5" x14ac:dyDescent="0.2">
      <c r="D4475" s="148"/>
      <c r="E4475" s="154"/>
    </row>
    <row r="4476" spans="4:5" x14ac:dyDescent="0.2">
      <c r="D4476" s="148"/>
      <c r="E4476" s="154"/>
    </row>
    <row r="4477" spans="4:5" x14ac:dyDescent="0.2">
      <c r="D4477" s="148"/>
      <c r="E4477" s="154"/>
    </row>
    <row r="4478" spans="4:5" x14ac:dyDescent="0.2">
      <c r="D4478" s="148"/>
      <c r="E4478" s="154"/>
    </row>
    <row r="4479" spans="4:5" x14ac:dyDescent="0.2">
      <c r="D4479" s="148"/>
      <c r="E4479" s="154"/>
    </row>
    <row r="4480" spans="4:5" x14ac:dyDescent="0.2">
      <c r="D4480" s="148"/>
      <c r="E4480" s="154"/>
    </row>
    <row r="4481" spans="4:5" x14ac:dyDescent="0.2">
      <c r="D4481" s="148"/>
      <c r="E4481" s="154"/>
    </row>
    <row r="4482" spans="4:5" x14ac:dyDescent="0.2">
      <c r="D4482" s="148"/>
      <c r="E4482" s="154"/>
    </row>
    <row r="4483" spans="4:5" x14ac:dyDescent="0.2">
      <c r="D4483" s="148"/>
      <c r="E4483" s="154"/>
    </row>
    <row r="4484" spans="4:5" x14ac:dyDescent="0.2">
      <c r="D4484" s="148"/>
      <c r="E4484" s="154"/>
    </row>
    <row r="4485" spans="4:5" x14ac:dyDescent="0.2">
      <c r="D4485" s="148"/>
      <c r="E4485" s="154"/>
    </row>
    <row r="4486" spans="4:5" x14ac:dyDescent="0.2">
      <c r="D4486" s="148"/>
      <c r="E4486" s="154"/>
    </row>
    <row r="4487" spans="4:5" x14ac:dyDescent="0.2">
      <c r="D4487" s="148"/>
      <c r="E4487" s="154"/>
    </row>
    <row r="4488" spans="4:5" x14ac:dyDescent="0.2">
      <c r="D4488" s="148"/>
      <c r="E4488" s="154"/>
    </row>
    <row r="4489" spans="4:5" x14ac:dyDescent="0.2">
      <c r="D4489" s="148"/>
      <c r="E4489" s="154"/>
    </row>
    <row r="4490" spans="4:5" x14ac:dyDescent="0.2">
      <c r="D4490" s="148"/>
      <c r="E4490" s="154"/>
    </row>
    <row r="4491" spans="4:5" x14ac:dyDescent="0.2">
      <c r="D4491" s="148"/>
      <c r="E4491" s="154"/>
    </row>
    <row r="4492" spans="4:5" x14ac:dyDescent="0.2">
      <c r="D4492" s="148"/>
      <c r="E4492" s="154"/>
    </row>
    <row r="4493" spans="4:5" x14ac:dyDescent="0.2">
      <c r="D4493" s="148"/>
      <c r="E4493" s="154"/>
    </row>
    <row r="4494" spans="4:5" x14ac:dyDescent="0.2">
      <c r="D4494" s="148"/>
      <c r="E4494" s="154"/>
    </row>
    <row r="4495" spans="4:5" x14ac:dyDescent="0.2">
      <c r="D4495" s="148"/>
      <c r="E4495" s="154"/>
    </row>
    <row r="4496" spans="4:5" x14ac:dyDescent="0.2">
      <c r="D4496" s="148"/>
      <c r="E4496" s="154"/>
    </row>
    <row r="4497" spans="4:5" x14ac:dyDescent="0.2">
      <c r="D4497" s="148"/>
      <c r="E4497" s="154"/>
    </row>
    <row r="4498" spans="4:5" x14ac:dyDescent="0.2">
      <c r="D4498" s="148"/>
      <c r="E4498" s="154"/>
    </row>
    <row r="4499" spans="4:5" x14ac:dyDescent="0.2">
      <c r="D4499" s="148"/>
      <c r="E4499" s="154"/>
    </row>
    <row r="4500" spans="4:5" x14ac:dyDescent="0.2">
      <c r="D4500" s="148"/>
      <c r="E4500" s="154"/>
    </row>
    <row r="4501" spans="4:5" x14ac:dyDescent="0.2">
      <c r="D4501" s="148"/>
      <c r="E4501" s="154"/>
    </row>
    <row r="4502" spans="4:5" x14ac:dyDescent="0.2">
      <c r="D4502" s="148"/>
      <c r="E4502" s="154"/>
    </row>
    <row r="4503" spans="4:5" x14ac:dyDescent="0.2">
      <c r="D4503" s="148"/>
      <c r="E4503" s="154"/>
    </row>
    <row r="4504" spans="4:5" x14ac:dyDescent="0.2">
      <c r="D4504" s="148"/>
      <c r="E4504" s="154"/>
    </row>
    <row r="4505" spans="4:5" x14ac:dyDescent="0.2">
      <c r="D4505" s="148"/>
      <c r="E4505" s="154"/>
    </row>
    <row r="4506" spans="4:5" x14ac:dyDescent="0.2">
      <c r="D4506" s="148"/>
      <c r="E4506" s="154"/>
    </row>
    <row r="4507" spans="4:5" x14ac:dyDescent="0.2">
      <c r="D4507" s="148"/>
      <c r="E4507" s="154"/>
    </row>
    <row r="4508" spans="4:5" x14ac:dyDescent="0.2">
      <c r="D4508" s="148"/>
      <c r="E4508" s="154"/>
    </row>
    <row r="4509" spans="4:5" x14ac:dyDescent="0.2">
      <c r="D4509" s="148"/>
      <c r="E4509" s="154"/>
    </row>
    <row r="4510" spans="4:5" x14ac:dyDescent="0.2">
      <c r="D4510" s="148"/>
      <c r="E4510" s="154"/>
    </row>
    <row r="4511" spans="4:5" x14ac:dyDescent="0.2">
      <c r="D4511" s="148"/>
      <c r="E4511" s="154"/>
    </row>
    <row r="4512" spans="4:5" x14ac:dyDescent="0.2">
      <c r="D4512" s="148"/>
      <c r="E4512" s="154"/>
    </row>
    <row r="4513" spans="4:5" x14ac:dyDescent="0.2">
      <c r="D4513" s="148"/>
      <c r="E4513" s="154"/>
    </row>
    <row r="4514" spans="4:5" x14ac:dyDescent="0.2">
      <c r="D4514" s="148"/>
      <c r="E4514" s="154"/>
    </row>
    <row r="4515" spans="4:5" x14ac:dyDescent="0.2">
      <c r="D4515" s="148"/>
      <c r="E4515" s="154"/>
    </row>
    <row r="4516" spans="4:5" x14ac:dyDescent="0.2">
      <c r="D4516" s="148"/>
      <c r="E4516" s="154"/>
    </row>
    <row r="4517" spans="4:5" x14ac:dyDescent="0.2">
      <c r="D4517" s="148"/>
      <c r="E4517" s="154"/>
    </row>
    <row r="4518" spans="4:5" x14ac:dyDescent="0.2">
      <c r="D4518" s="148"/>
      <c r="E4518" s="154"/>
    </row>
    <row r="4519" spans="4:5" x14ac:dyDescent="0.2">
      <c r="D4519" s="148"/>
      <c r="E4519" s="154"/>
    </row>
    <row r="4520" spans="4:5" x14ac:dyDescent="0.2">
      <c r="D4520" s="148"/>
      <c r="E4520" s="154"/>
    </row>
    <row r="4521" spans="4:5" x14ac:dyDescent="0.2">
      <c r="D4521" s="148"/>
      <c r="E4521" s="154"/>
    </row>
    <row r="4522" spans="4:5" x14ac:dyDescent="0.2">
      <c r="D4522" s="148"/>
      <c r="E4522" s="154"/>
    </row>
    <row r="4523" spans="4:5" x14ac:dyDescent="0.2">
      <c r="D4523" s="148"/>
      <c r="E4523" s="154"/>
    </row>
    <row r="4524" spans="4:5" x14ac:dyDescent="0.2">
      <c r="D4524" s="148"/>
      <c r="E4524" s="154"/>
    </row>
    <row r="4525" spans="4:5" x14ac:dyDescent="0.2">
      <c r="D4525" s="148"/>
      <c r="E4525" s="154"/>
    </row>
    <row r="4526" spans="4:5" x14ac:dyDescent="0.2">
      <c r="D4526" s="148"/>
      <c r="E4526" s="154"/>
    </row>
    <row r="4527" spans="4:5" x14ac:dyDescent="0.2">
      <c r="D4527" s="148"/>
      <c r="E4527" s="154"/>
    </row>
    <row r="4528" spans="4:5" x14ac:dyDescent="0.2">
      <c r="D4528" s="148"/>
      <c r="E4528" s="154"/>
    </row>
    <row r="4529" spans="4:5" x14ac:dyDescent="0.2">
      <c r="D4529" s="148"/>
      <c r="E4529" s="154"/>
    </row>
    <row r="4530" spans="4:5" x14ac:dyDescent="0.2">
      <c r="D4530" s="148"/>
      <c r="E4530" s="154"/>
    </row>
    <row r="4531" spans="4:5" x14ac:dyDescent="0.2">
      <c r="D4531" s="148"/>
      <c r="E4531" s="154"/>
    </row>
    <row r="4532" spans="4:5" x14ac:dyDescent="0.2">
      <c r="D4532" s="148"/>
      <c r="E4532" s="154"/>
    </row>
    <row r="4533" spans="4:5" x14ac:dyDescent="0.2">
      <c r="D4533" s="148"/>
      <c r="E4533" s="154"/>
    </row>
    <row r="4534" spans="4:5" x14ac:dyDescent="0.2">
      <c r="D4534" s="148"/>
      <c r="E4534" s="154"/>
    </row>
    <row r="4535" spans="4:5" x14ac:dyDescent="0.2">
      <c r="D4535" s="148"/>
      <c r="E4535" s="154"/>
    </row>
    <row r="4536" spans="4:5" x14ac:dyDescent="0.2">
      <c r="D4536" s="148"/>
      <c r="E4536" s="154"/>
    </row>
    <row r="4537" spans="4:5" x14ac:dyDescent="0.2">
      <c r="D4537" s="148"/>
      <c r="E4537" s="154"/>
    </row>
    <row r="4538" spans="4:5" x14ac:dyDescent="0.2">
      <c r="D4538" s="148"/>
      <c r="E4538" s="154"/>
    </row>
    <row r="4539" spans="4:5" x14ac:dyDescent="0.2">
      <c r="D4539" s="148"/>
      <c r="E4539" s="154"/>
    </row>
    <row r="4540" spans="4:5" x14ac:dyDescent="0.2">
      <c r="D4540" s="148"/>
      <c r="E4540" s="154"/>
    </row>
    <row r="4541" spans="4:5" x14ac:dyDescent="0.2">
      <c r="D4541" s="148"/>
      <c r="E4541" s="154"/>
    </row>
    <row r="4542" spans="4:5" x14ac:dyDescent="0.2">
      <c r="D4542" s="148"/>
      <c r="E4542" s="154"/>
    </row>
    <row r="4543" spans="4:5" x14ac:dyDescent="0.2">
      <c r="D4543" s="148"/>
      <c r="E4543" s="154"/>
    </row>
    <row r="4544" spans="4:5" x14ac:dyDescent="0.2">
      <c r="D4544" s="148"/>
      <c r="E4544" s="154"/>
    </row>
    <row r="4545" spans="4:5" x14ac:dyDescent="0.2">
      <c r="D4545" s="148"/>
      <c r="E4545" s="154"/>
    </row>
    <row r="4546" spans="4:5" x14ac:dyDescent="0.2">
      <c r="D4546" s="148"/>
      <c r="E4546" s="154"/>
    </row>
    <row r="4547" spans="4:5" x14ac:dyDescent="0.2">
      <c r="D4547" s="148"/>
      <c r="E4547" s="154"/>
    </row>
    <row r="4548" spans="4:5" x14ac:dyDescent="0.2">
      <c r="D4548" s="148"/>
      <c r="E4548" s="154"/>
    </row>
    <row r="4549" spans="4:5" x14ac:dyDescent="0.2">
      <c r="D4549" s="148"/>
      <c r="E4549" s="154"/>
    </row>
    <row r="4550" spans="4:5" x14ac:dyDescent="0.2">
      <c r="D4550" s="148"/>
      <c r="E4550" s="154"/>
    </row>
    <row r="4551" spans="4:5" x14ac:dyDescent="0.2">
      <c r="D4551" s="148"/>
      <c r="E4551" s="154"/>
    </row>
    <row r="4552" spans="4:5" x14ac:dyDescent="0.2">
      <c r="D4552" s="148"/>
      <c r="E4552" s="154"/>
    </row>
    <row r="4553" spans="4:5" x14ac:dyDescent="0.2">
      <c r="D4553" s="148"/>
      <c r="E4553" s="154"/>
    </row>
    <row r="4554" spans="4:5" x14ac:dyDescent="0.2">
      <c r="D4554" s="148"/>
      <c r="E4554" s="154"/>
    </row>
    <row r="4555" spans="4:5" x14ac:dyDescent="0.2">
      <c r="D4555" s="148"/>
      <c r="E4555" s="154"/>
    </row>
    <row r="4556" spans="4:5" x14ac:dyDescent="0.2">
      <c r="D4556" s="148"/>
      <c r="E4556" s="154"/>
    </row>
    <row r="4557" spans="4:5" x14ac:dyDescent="0.2">
      <c r="D4557" s="148"/>
      <c r="E4557" s="154"/>
    </row>
    <row r="4558" spans="4:5" x14ac:dyDescent="0.2">
      <c r="D4558" s="148"/>
      <c r="E4558" s="154"/>
    </row>
    <row r="4559" spans="4:5" x14ac:dyDescent="0.2">
      <c r="D4559" s="148"/>
      <c r="E4559" s="154"/>
    </row>
    <row r="4560" spans="4:5" x14ac:dyDescent="0.2">
      <c r="D4560" s="148"/>
      <c r="E4560" s="154"/>
    </row>
    <row r="4561" spans="4:5" x14ac:dyDescent="0.2">
      <c r="D4561" s="148"/>
      <c r="E4561" s="154"/>
    </row>
    <row r="4562" spans="4:5" x14ac:dyDescent="0.2">
      <c r="D4562" s="148"/>
      <c r="E4562" s="154"/>
    </row>
    <row r="4563" spans="4:5" x14ac:dyDescent="0.2">
      <c r="D4563" s="148"/>
      <c r="E4563" s="154"/>
    </row>
    <row r="4564" spans="4:5" x14ac:dyDescent="0.2">
      <c r="D4564" s="148"/>
      <c r="E4564" s="154"/>
    </row>
    <row r="4565" spans="4:5" x14ac:dyDescent="0.2">
      <c r="D4565" s="148"/>
      <c r="E4565" s="154"/>
    </row>
    <row r="4566" spans="4:5" x14ac:dyDescent="0.2">
      <c r="D4566" s="148"/>
      <c r="E4566" s="154"/>
    </row>
    <row r="4567" spans="4:5" x14ac:dyDescent="0.2">
      <c r="D4567" s="148"/>
      <c r="E4567" s="154"/>
    </row>
    <row r="4568" spans="4:5" x14ac:dyDescent="0.2">
      <c r="D4568" s="148"/>
      <c r="E4568" s="154"/>
    </row>
    <row r="4569" spans="4:5" x14ac:dyDescent="0.2">
      <c r="D4569" s="148"/>
      <c r="E4569" s="154"/>
    </row>
    <row r="4570" spans="4:5" x14ac:dyDescent="0.2">
      <c r="D4570" s="148"/>
      <c r="E4570" s="154"/>
    </row>
    <row r="4571" spans="4:5" x14ac:dyDescent="0.2">
      <c r="D4571" s="148"/>
      <c r="E4571" s="154"/>
    </row>
    <row r="4572" spans="4:5" x14ac:dyDescent="0.2">
      <c r="D4572" s="148"/>
      <c r="E4572" s="154"/>
    </row>
    <row r="4573" spans="4:5" x14ac:dyDescent="0.2">
      <c r="D4573" s="148"/>
      <c r="E4573" s="154"/>
    </row>
    <row r="4574" spans="4:5" x14ac:dyDescent="0.2">
      <c r="D4574" s="148"/>
      <c r="E4574" s="154"/>
    </row>
    <row r="4575" spans="4:5" x14ac:dyDescent="0.2">
      <c r="D4575" s="148"/>
      <c r="E4575" s="154"/>
    </row>
    <row r="4576" spans="4:5" x14ac:dyDescent="0.2">
      <c r="D4576" s="148"/>
      <c r="E4576" s="154"/>
    </row>
    <row r="4577" spans="4:5" x14ac:dyDescent="0.2">
      <c r="D4577" s="148"/>
      <c r="E4577" s="154"/>
    </row>
    <row r="4578" spans="4:5" x14ac:dyDescent="0.2">
      <c r="D4578" s="148"/>
      <c r="E4578" s="154"/>
    </row>
    <row r="4579" spans="4:5" x14ac:dyDescent="0.2">
      <c r="D4579" s="148"/>
      <c r="E4579" s="154"/>
    </row>
    <row r="4580" spans="4:5" x14ac:dyDescent="0.2">
      <c r="D4580" s="148"/>
      <c r="E4580" s="154"/>
    </row>
    <row r="4581" spans="4:5" x14ac:dyDescent="0.2">
      <c r="D4581" s="148"/>
      <c r="E4581" s="154"/>
    </row>
    <row r="4582" spans="4:5" x14ac:dyDescent="0.2">
      <c r="D4582" s="148"/>
      <c r="E4582" s="154"/>
    </row>
    <row r="4583" spans="4:5" x14ac:dyDescent="0.2">
      <c r="D4583" s="148"/>
      <c r="E4583" s="154"/>
    </row>
    <row r="4584" spans="4:5" x14ac:dyDescent="0.2">
      <c r="D4584" s="148"/>
      <c r="E4584" s="154"/>
    </row>
    <row r="4585" spans="4:5" x14ac:dyDescent="0.2">
      <c r="D4585" s="148"/>
      <c r="E4585" s="154"/>
    </row>
    <row r="4586" spans="4:5" x14ac:dyDescent="0.2">
      <c r="D4586" s="148"/>
      <c r="E4586" s="154"/>
    </row>
    <row r="4587" spans="4:5" x14ac:dyDescent="0.2">
      <c r="D4587" s="148"/>
      <c r="E4587" s="154"/>
    </row>
    <row r="4588" spans="4:5" x14ac:dyDescent="0.2">
      <c r="D4588" s="148"/>
      <c r="E4588" s="154"/>
    </row>
    <row r="4589" spans="4:5" x14ac:dyDescent="0.2">
      <c r="D4589" s="148"/>
      <c r="E4589" s="154"/>
    </row>
    <row r="4590" spans="4:5" x14ac:dyDescent="0.2">
      <c r="D4590" s="148"/>
      <c r="E4590" s="154"/>
    </row>
    <row r="4591" spans="4:5" x14ac:dyDescent="0.2">
      <c r="D4591" s="148"/>
      <c r="E4591" s="154"/>
    </row>
    <row r="4592" spans="4:5" x14ac:dyDescent="0.2">
      <c r="D4592" s="148"/>
      <c r="E4592" s="154"/>
    </row>
    <row r="4593" spans="4:5" x14ac:dyDescent="0.2">
      <c r="D4593" s="148"/>
      <c r="E4593" s="154"/>
    </row>
    <row r="4594" spans="4:5" x14ac:dyDescent="0.2">
      <c r="D4594" s="148"/>
      <c r="E4594" s="154"/>
    </row>
    <row r="4595" spans="4:5" x14ac:dyDescent="0.2">
      <c r="D4595" s="148"/>
      <c r="E4595" s="154"/>
    </row>
    <row r="4596" spans="4:5" x14ac:dyDescent="0.2">
      <c r="D4596" s="148"/>
      <c r="E4596" s="154"/>
    </row>
    <row r="4597" spans="4:5" x14ac:dyDescent="0.2">
      <c r="D4597" s="148"/>
      <c r="E4597" s="154"/>
    </row>
    <row r="4598" spans="4:5" x14ac:dyDescent="0.2">
      <c r="D4598" s="148"/>
      <c r="E4598" s="154"/>
    </row>
    <row r="4599" spans="4:5" x14ac:dyDescent="0.2">
      <c r="D4599" s="148"/>
      <c r="E4599" s="154"/>
    </row>
    <row r="4600" spans="4:5" x14ac:dyDescent="0.2">
      <c r="D4600" s="148"/>
      <c r="E4600" s="154"/>
    </row>
    <row r="4601" spans="4:5" x14ac:dyDescent="0.2">
      <c r="D4601" s="148"/>
      <c r="E4601" s="154"/>
    </row>
    <row r="4602" spans="4:5" x14ac:dyDescent="0.2">
      <c r="D4602" s="148"/>
      <c r="E4602" s="154"/>
    </row>
    <row r="4603" spans="4:5" x14ac:dyDescent="0.2">
      <c r="D4603" s="148"/>
      <c r="E4603" s="154"/>
    </row>
    <row r="4604" spans="4:5" x14ac:dyDescent="0.2">
      <c r="D4604" s="148"/>
      <c r="E4604" s="154"/>
    </row>
    <row r="4605" spans="4:5" x14ac:dyDescent="0.2">
      <c r="D4605" s="148"/>
      <c r="E4605" s="154"/>
    </row>
    <row r="4606" spans="4:5" x14ac:dyDescent="0.2">
      <c r="D4606" s="148"/>
      <c r="E4606" s="154"/>
    </row>
    <row r="4607" spans="4:5" x14ac:dyDescent="0.2">
      <c r="D4607" s="148"/>
      <c r="E4607" s="154"/>
    </row>
    <row r="4608" spans="4:5" x14ac:dyDescent="0.2">
      <c r="D4608" s="148"/>
      <c r="E4608" s="154"/>
    </row>
    <row r="4609" spans="4:5" x14ac:dyDescent="0.2">
      <c r="D4609" s="148"/>
      <c r="E4609" s="154"/>
    </row>
    <row r="4610" spans="4:5" x14ac:dyDescent="0.2">
      <c r="D4610" s="148"/>
      <c r="E4610" s="154"/>
    </row>
    <row r="4611" spans="4:5" x14ac:dyDescent="0.2">
      <c r="D4611" s="148"/>
      <c r="E4611" s="154"/>
    </row>
    <row r="4612" spans="4:5" x14ac:dyDescent="0.2">
      <c r="D4612" s="148"/>
      <c r="E4612" s="154"/>
    </row>
    <row r="4613" spans="4:5" x14ac:dyDescent="0.2">
      <c r="D4613" s="148"/>
      <c r="E4613" s="154"/>
    </row>
    <row r="4614" spans="4:5" x14ac:dyDescent="0.2">
      <c r="D4614" s="148"/>
      <c r="E4614" s="154"/>
    </row>
    <row r="4615" spans="4:5" x14ac:dyDescent="0.2">
      <c r="D4615" s="148"/>
      <c r="E4615" s="154"/>
    </row>
    <row r="4616" spans="4:5" x14ac:dyDescent="0.2">
      <c r="D4616" s="148"/>
      <c r="E4616" s="154"/>
    </row>
    <row r="4617" spans="4:5" x14ac:dyDescent="0.2">
      <c r="D4617" s="148"/>
      <c r="E4617" s="154"/>
    </row>
    <row r="4618" spans="4:5" x14ac:dyDescent="0.2">
      <c r="D4618" s="148"/>
      <c r="E4618" s="154"/>
    </row>
    <row r="4619" spans="4:5" x14ac:dyDescent="0.2">
      <c r="D4619" s="148"/>
      <c r="E4619" s="154"/>
    </row>
    <row r="4620" spans="4:5" x14ac:dyDescent="0.2">
      <c r="D4620" s="148"/>
      <c r="E4620" s="154"/>
    </row>
    <row r="4621" spans="4:5" x14ac:dyDescent="0.2">
      <c r="D4621" s="148"/>
      <c r="E4621" s="154"/>
    </row>
    <row r="4622" spans="4:5" x14ac:dyDescent="0.2">
      <c r="D4622" s="148"/>
      <c r="E4622" s="154"/>
    </row>
    <row r="4623" spans="4:5" x14ac:dyDescent="0.2">
      <c r="D4623" s="148"/>
      <c r="E4623" s="154"/>
    </row>
    <row r="4624" spans="4:5" x14ac:dyDescent="0.2">
      <c r="D4624" s="148"/>
      <c r="E4624" s="154"/>
    </row>
    <row r="4625" spans="4:5" x14ac:dyDescent="0.2">
      <c r="D4625" s="148"/>
      <c r="E4625" s="154"/>
    </row>
    <row r="4626" spans="4:5" x14ac:dyDescent="0.2">
      <c r="D4626" s="148"/>
      <c r="E4626" s="154"/>
    </row>
    <row r="4627" spans="4:5" x14ac:dyDescent="0.2">
      <c r="D4627" s="148"/>
      <c r="E4627" s="154"/>
    </row>
    <row r="4628" spans="4:5" x14ac:dyDescent="0.2">
      <c r="D4628" s="148"/>
      <c r="E4628" s="154"/>
    </row>
    <row r="4629" spans="4:5" x14ac:dyDescent="0.2">
      <c r="D4629" s="148"/>
      <c r="E4629" s="154"/>
    </row>
    <row r="4630" spans="4:5" x14ac:dyDescent="0.2">
      <c r="D4630" s="148"/>
      <c r="E4630" s="154"/>
    </row>
    <row r="4631" spans="4:5" x14ac:dyDescent="0.2">
      <c r="D4631" s="148"/>
      <c r="E4631" s="154"/>
    </row>
    <row r="4632" spans="4:5" x14ac:dyDescent="0.2">
      <c r="D4632" s="148"/>
      <c r="E4632" s="154"/>
    </row>
    <row r="4633" spans="4:5" x14ac:dyDescent="0.2">
      <c r="D4633" s="148"/>
      <c r="E4633" s="154"/>
    </row>
    <row r="4634" spans="4:5" x14ac:dyDescent="0.2">
      <c r="D4634" s="148"/>
      <c r="E4634" s="154"/>
    </row>
    <row r="4635" spans="4:5" x14ac:dyDescent="0.2">
      <c r="D4635" s="148"/>
      <c r="E4635" s="154"/>
    </row>
    <row r="4636" spans="4:5" x14ac:dyDescent="0.2">
      <c r="D4636" s="148"/>
      <c r="E4636" s="154"/>
    </row>
    <row r="4637" spans="4:5" x14ac:dyDescent="0.2">
      <c r="D4637" s="148"/>
      <c r="E4637" s="154"/>
    </row>
    <row r="4638" spans="4:5" x14ac:dyDescent="0.2">
      <c r="D4638" s="148"/>
      <c r="E4638" s="154"/>
    </row>
    <row r="4639" spans="4:5" x14ac:dyDescent="0.2">
      <c r="D4639" s="148"/>
      <c r="E4639" s="154"/>
    </row>
    <row r="4640" spans="4:5" x14ac:dyDescent="0.2">
      <c r="D4640" s="148"/>
      <c r="E4640" s="154"/>
    </row>
    <row r="4641" spans="4:5" x14ac:dyDescent="0.2">
      <c r="D4641" s="148"/>
      <c r="E4641" s="154"/>
    </row>
    <row r="4642" spans="4:5" x14ac:dyDescent="0.2">
      <c r="D4642" s="148"/>
      <c r="E4642" s="154"/>
    </row>
    <row r="4643" spans="4:5" x14ac:dyDescent="0.2">
      <c r="D4643" s="148"/>
      <c r="E4643" s="154"/>
    </row>
    <row r="4644" spans="4:5" x14ac:dyDescent="0.2">
      <c r="D4644" s="148"/>
      <c r="E4644" s="154"/>
    </row>
    <row r="4645" spans="4:5" x14ac:dyDescent="0.2">
      <c r="D4645" s="148"/>
      <c r="E4645" s="154"/>
    </row>
    <row r="4646" spans="4:5" x14ac:dyDescent="0.2">
      <c r="D4646" s="148"/>
      <c r="E4646" s="154"/>
    </row>
    <row r="4647" spans="4:5" x14ac:dyDescent="0.2">
      <c r="D4647" s="148"/>
      <c r="E4647" s="154"/>
    </row>
    <row r="4648" spans="4:5" x14ac:dyDescent="0.2">
      <c r="D4648" s="148"/>
      <c r="E4648" s="154"/>
    </row>
    <row r="4649" spans="4:5" x14ac:dyDescent="0.2">
      <c r="D4649" s="148"/>
      <c r="E4649" s="154"/>
    </row>
    <row r="4650" spans="4:5" x14ac:dyDescent="0.2">
      <c r="D4650" s="148"/>
      <c r="E4650" s="154"/>
    </row>
    <row r="4651" spans="4:5" x14ac:dyDescent="0.2">
      <c r="D4651" s="148"/>
      <c r="E4651" s="154"/>
    </row>
    <row r="4652" spans="4:5" x14ac:dyDescent="0.2">
      <c r="D4652" s="148"/>
      <c r="E4652" s="154"/>
    </row>
    <row r="4653" spans="4:5" x14ac:dyDescent="0.2">
      <c r="D4653" s="148"/>
      <c r="E4653" s="154"/>
    </row>
    <row r="4654" spans="4:5" x14ac:dyDescent="0.2">
      <c r="D4654" s="148"/>
      <c r="E4654" s="154"/>
    </row>
    <row r="4655" spans="4:5" x14ac:dyDescent="0.2">
      <c r="D4655" s="148"/>
      <c r="E4655" s="154"/>
    </row>
    <row r="4656" spans="4:5" x14ac:dyDescent="0.2">
      <c r="D4656" s="148"/>
      <c r="E4656" s="154"/>
    </row>
    <row r="4657" spans="4:5" x14ac:dyDescent="0.2">
      <c r="D4657" s="148"/>
      <c r="E4657" s="154"/>
    </row>
    <row r="4658" spans="4:5" x14ac:dyDescent="0.2">
      <c r="D4658" s="148"/>
      <c r="E4658" s="154"/>
    </row>
    <row r="4659" spans="4:5" x14ac:dyDescent="0.2">
      <c r="D4659" s="148"/>
      <c r="E4659" s="154"/>
    </row>
    <row r="4660" spans="4:5" x14ac:dyDescent="0.2">
      <c r="D4660" s="148"/>
      <c r="E4660" s="154"/>
    </row>
    <row r="4661" spans="4:5" x14ac:dyDescent="0.2">
      <c r="D4661" s="148"/>
      <c r="E4661" s="154"/>
    </row>
    <row r="4662" spans="4:5" x14ac:dyDescent="0.2">
      <c r="D4662" s="148"/>
      <c r="E4662" s="154"/>
    </row>
    <row r="4663" spans="4:5" x14ac:dyDescent="0.2">
      <c r="D4663" s="148"/>
      <c r="E4663" s="154"/>
    </row>
    <row r="4664" spans="4:5" x14ac:dyDescent="0.2">
      <c r="D4664" s="148"/>
      <c r="E4664" s="154"/>
    </row>
    <row r="4665" spans="4:5" x14ac:dyDescent="0.2">
      <c r="D4665" s="148"/>
      <c r="E4665" s="154"/>
    </row>
    <row r="4666" spans="4:5" x14ac:dyDescent="0.2">
      <c r="D4666" s="148"/>
      <c r="E4666" s="154"/>
    </row>
    <row r="4667" spans="4:5" x14ac:dyDescent="0.2">
      <c r="D4667" s="148"/>
      <c r="E4667" s="154"/>
    </row>
    <row r="4668" spans="4:5" x14ac:dyDescent="0.2">
      <c r="D4668" s="148"/>
      <c r="E4668" s="154"/>
    </row>
    <row r="4669" spans="4:5" x14ac:dyDescent="0.2">
      <c r="D4669" s="148"/>
      <c r="E4669" s="154"/>
    </row>
    <row r="4670" spans="4:5" x14ac:dyDescent="0.2">
      <c r="D4670" s="148"/>
      <c r="E4670" s="154"/>
    </row>
    <row r="4671" spans="4:5" x14ac:dyDescent="0.2">
      <c r="D4671" s="148"/>
      <c r="E4671" s="154"/>
    </row>
    <row r="4672" spans="4:5" x14ac:dyDescent="0.2">
      <c r="D4672" s="148"/>
      <c r="E4672" s="154"/>
    </row>
    <row r="4673" spans="4:5" x14ac:dyDescent="0.2">
      <c r="D4673" s="148"/>
      <c r="E4673" s="154"/>
    </row>
    <row r="4674" spans="4:5" x14ac:dyDescent="0.2">
      <c r="D4674" s="148"/>
      <c r="E4674" s="154"/>
    </row>
    <row r="4675" spans="4:5" x14ac:dyDescent="0.2">
      <c r="D4675" s="148"/>
      <c r="E4675" s="154"/>
    </row>
    <row r="4676" spans="4:5" x14ac:dyDescent="0.2">
      <c r="D4676" s="148"/>
      <c r="E4676" s="154"/>
    </row>
    <row r="4677" spans="4:5" x14ac:dyDescent="0.2">
      <c r="D4677" s="148"/>
      <c r="E4677" s="154"/>
    </row>
    <row r="4678" spans="4:5" x14ac:dyDescent="0.2">
      <c r="D4678" s="148"/>
      <c r="E4678" s="154"/>
    </row>
    <row r="4679" spans="4:5" x14ac:dyDescent="0.2">
      <c r="D4679" s="148"/>
      <c r="E4679" s="154"/>
    </row>
    <row r="4680" spans="4:5" x14ac:dyDescent="0.2">
      <c r="D4680" s="148"/>
      <c r="E4680" s="154"/>
    </row>
    <row r="4681" spans="4:5" x14ac:dyDescent="0.2">
      <c r="D4681" s="148"/>
      <c r="E4681" s="154"/>
    </row>
    <row r="4682" spans="4:5" x14ac:dyDescent="0.2">
      <c r="D4682" s="148"/>
      <c r="E4682" s="154"/>
    </row>
    <row r="4683" spans="4:5" x14ac:dyDescent="0.2">
      <c r="D4683" s="148"/>
      <c r="E4683" s="154"/>
    </row>
    <row r="4684" spans="4:5" x14ac:dyDescent="0.2">
      <c r="D4684" s="148"/>
      <c r="E4684" s="154"/>
    </row>
    <row r="4685" spans="4:5" x14ac:dyDescent="0.2">
      <c r="D4685" s="148"/>
      <c r="E4685" s="154"/>
    </row>
    <row r="4686" spans="4:5" x14ac:dyDescent="0.2">
      <c r="D4686" s="148"/>
      <c r="E4686" s="154"/>
    </row>
    <row r="4687" spans="4:5" x14ac:dyDescent="0.2">
      <c r="D4687" s="148"/>
      <c r="E4687" s="154"/>
    </row>
    <row r="4688" spans="4:5" x14ac:dyDescent="0.2">
      <c r="D4688" s="148"/>
      <c r="E4688" s="154"/>
    </row>
    <row r="4689" spans="4:5" x14ac:dyDescent="0.2">
      <c r="D4689" s="148"/>
      <c r="E4689" s="154"/>
    </row>
    <row r="4690" spans="4:5" x14ac:dyDescent="0.2">
      <c r="D4690" s="148"/>
      <c r="E4690" s="154"/>
    </row>
    <row r="4691" spans="4:5" x14ac:dyDescent="0.2">
      <c r="D4691" s="148"/>
      <c r="E4691" s="154"/>
    </row>
    <row r="4692" spans="4:5" x14ac:dyDescent="0.2">
      <c r="D4692" s="148"/>
      <c r="E4692" s="154"/>
    </row>
    <row r="4693" spans="4:5" x14ac:dyDescent="0.2">
      <c r="D4693" s="148"/>
      <c r="E4693" s="154"/>
    </row>
    <row r="4694" spans="4:5" x14ac:dyDescent="0.2">
      <c r="D4694" s="148"/>
      <c r="E4694" s="154"/>
    </row>
    <row r="4695" spans="4:5" x14ac:dyDescent="0.2">
      <c r="D4695" s="148"/>
      <c r="E4695" s="154"/>
    </row>
    <row r="4696" spans="4:5" x14ac:dyDescent="0.2">
      <c r="D4696" s="148"/>
      <c r="E4696" s="154"/>
    </row>
    <row r="4697" spans="4:5" x14ac:dyDescent="0.2">
      <c r="D4697" s="148"/>
      <c r="E4697" s="154"/>
    </row>
    <row r="4698" spans="4:5" x14ac:dyDescent="0.2">
      <c r="D4698" s="148"/>
      <c r="E4698" s="154"/>
    </row>
    <row r="4699" spans="4:5" x14ac:dyDescent="0.2">
      <c r="D4699" s="148"/>
      <c r="E4699" s="154"/>
    </row>
    <row r="4700" spans="4:5" x14ac:dyDescent="0.2">
      <c r="D4700" s="148"/>
      <c r="E4700" s="154"/>
    </row>
    <row r="4701" spans="4:5" x14ac:dyDescent="0.2">
      <c r="D4701" s="148"/>
      <c r="E4701" s="154"/>
    </row>
    <row r="4702" spans="4:5" x14ac:dyDescent="0.2">
      <c r="D4702" s="148"/>
      <c r="E4702" s="154"/>
    </row>
    <row r="4703" spans="4:5" x14ac:dyDescent="0.2">
      <c r="D4703" s="148"/>
      <c r="E4703" s="154"/>
    </row>
    <row r="4704" spans="4:5" x14ac:dyDescent="0.2">
      <c r="D4704" s="148"/>
      <c r="E4704" s="154"/>
    </row>
    <row r="4705" spans="4:5" x14ac:dyDescent="0.2">
      <c r="D4705" s="148"/>
      <c r="E4705" s="154"/>
    </row>
    <row r="4706" spans="4:5" x14ac:dyDescent="0.2">
      <c r="D4706" s="148"/>
      <c r="E4706" s="154"/>
    </row>
    <row r="4707" spans="4:5" x14ac:dyDescent="0.2">
      <c r="D4707" s="148"/>
      <c r="E4707" s="154"/>
    </row>
    <row r="4708" spans="4:5" x14ac:dyDescent="0.2">
      <c r="D4708" s="148"/>
      <c r="E4708" s="154"/>
    </row>
    <row r="4709" spans="4:5" x14ac:dyDescent="0.2">
      <c r="D4709" s="148"/>
      <c r="E4709" s="154"/>
    </row>
    <row r="4710" spans="4:5" x14ac:dyDescent="0.2">
      <c r="D4710" s="148"/>
      <c r="E4710" s="154"/>
    </row>
    <row r="4711" spans="4:5" x14ac:dyDescent="0.2">
      <c r="D4711" s="148"/>
      <c r="E4711" s="154"/>
    </row>
    <row r="4712" spans="4:5" x14ac:dyDescent="0.2">
      <c r="D4712" s="148"/>
      <c r="E4712" s="154"/>
    </row>
    <row r="4713" spans="4:5" x14ac:dyDescent="0.2">
      <c r="D4713" s="148"/>
      <c r="E4713" s="154"/>
    </row>
    <row r="4714" spans="4:5" x14ac:dyDescent="0.2">
      <c r="D4714" s="148"/>
      <c r="E4714" s="154"/>
    </row>
    <row r="4715" spans="4:5" x14ac:dyDescent="0.2">
      <c r="D4715" s="148"/>
      <c r="E4715" s="154"/>
    </row>
    <row r="4716" spans="4:5" x14ac:dyDescent="0.2">
      <c r="D4716" s="148"/>
      <c r="E4716" s="154"/>
    </row>
    <row r="4717" spans="4:5" x14ac:dyDescent="0.2">
      <c r="D4717" s="148"/>
      <c r="E4717" s="154"/>
    </row>
    <row r="4718" spans="4:5" x14ac:dyDescent="0.2">
      <c r="D4718" s="148"/>
      <c r="E4718" s="154"/>
    </row>
    <row r="4719" spans="4:5" x14ac:dyDescent="0.2">
      <c r="D4719" s="148"/>
      <c r="E4719" s="154"/>
    </row>
    <row r="4720" spans="4:5" x14ac:dyDescent="0.2">
      <c r="D4720" s="148"/>
      <c r="E4720" s="154"/>
    </row>
    <row r="4721" spans="4:5" x14ac:dyDescent="0.2">
      <c r="D4721" s="148"/>
      <c r="E4721" s="154"/>
    </row>
    <row r="4722" spans="4:5" x14ac:dyDescent="0.2">
      <c r="D4722" s="148"/>
      <c r="E4722" s="154"/>
    </row>
    <row r="4723" spans="4:5" x14ac:dyDescent="0.2">
      <c r="D4723" s="148"/>
      <c r="E4723" s="154"/>
    </row>
    <row r="4724" spans="4:5" x14ac:dyDescent="0.2">
      <c r="D4724" s="148"/>
      <c r="E4724" s="154"/>
    </row>
    <row r="4725" spans="4:5" x14ac:dyDescent="0.2">
      <c r="D4725" s="148"/>
      <c r="E4725" s="154"/>
    </row>
    <row r="4726" spans="4:5" x14ac:dyDescent="0.2">
      <c r="D4726" s="148"/>
      <c r="E4726" s="154"/>
    </row>
    <row r="4727" spans="4:5" x14ac:dyDescent="0.2">
      <c r="D4727" s="148"/>
      <c r="E4727" s="154"/>
    </row>
    <row r="4728" spans="4:5" x14ac:dyDescent="0.2">
      <c r="D4728" s="148"/>
      <c r="E4728" s="154"/>
    </row>
    <row r="4729" spans="4:5" x14ac:dyDescent="0.2">
      <c r="D4729" s="148"/>
      <c r="E4729" s="154"/>
    </row>
    <row r="4730" spans="4:5" x14ac:dyDescent="0.2">
      <c r="D4730" s="148"/>
      <c r="E4730" s="154"/>
    </row>
    <row r="4731" spans="4:5" x14ac:dyDescent="0.2">
      <c r="D4731" s="148"/>
      <c r="E4731" s="154"/>
    </row>
    <row r="4732" spans="4:5" x14ac:dyDescent="0.2">
      <c r="D4732" s="148"/>
      <c r="E4732" s="154"/>
    </row>
    <row r="4733" spans="4:5" x14ac:dyDescent="0.2">
      <c r="D4733" s="148"/>
      <c r="E4733" s="154"/>
    </row>
    <row r="4734" spans="4:5" x14ac:dyDescent="0.2">
      <c r="D4734" s="148"/>
      <c r="E4734" s="154"/>
    </row>
    <row r="4735" spans="4:5" x14ac:dyDescent="0.2">
      <c r="D4735" s="148"/>
      <c r="E4735" s="154"/>
    </row>
    <row r="4736" spans="4:5" x14ac:dyDescent="0.2">
      <c r="D4736" s="148"/>
      <c r="E4736" s="154"/>
    </row>
    <row r="4737" spans="4:5" x14ac:dyDescent="0.2">
      <c r="D4737" s="148"/>
      <c r="E4737" s="154"/>
    </row>
    <row r="4738" spans="4:5" x14ac:dyDescent="0.2">
      <c r="D4738" s="148"/>
      <c r="E4738" s="154"/>
    </row>
    <row r="4739" spans="4:5" x14ac:dyDescent="0.2">
      <c r="D4739" s="148"/>
      <c r="E4739" s="154"/>
    </row>
    <row r="4740" spans="4:5" x14ac:dyDescent="0.2">
      <c r="D4740" s="148"/>
      <c r="E4740" s="154"/>
    </row>
    <row r="4741" spans="4:5" x14ac:dyDescent="0.2">
      <c r="D4741" s="148"/>
      <c r="E4741" s="154"/>
    </row>
    <row r="4742" spans="4:5" x14ac:dyDescent="0.2">
      <c r="D4742" s="148"/>
      <c r="E4742" s="154"/>
    </row>
    <row r="4743" spans="4:5" x14ac:dyDescent="0.2">
      <c r="D4743" s="148"/>
      <c r="E4743" s="154"/>
    </row>
    <row r="4744" spans="4:5" x14ac:dyDescent="0.2">
      <c r="D4744" s="148"/>
      <c r="E4744" s="154"/>
    </row>
    <row r="4745" spans="4:5" x14ac:dyDescent="0.2">
      <c r="D4745" s="148"/>
      <c r="E4745" s="154"/>
    </row>
    <row r="4746" spans="4:5" x14ac:dyDescent="0.2">
      <c r="D4746" s="148"/>
      <c r="E4746" s="154"/>
    </row>
    <row r="4747" spans="4:5" x14ac:dyDescent="0.2">
      <c r="D4747" s="148"/>
      <c r="E4747" s="154"/>
    </row>
    <row r="4748" spans="4:5" x14ac:dyDescent="0.2">
      <c r="D4748" s="148"/>
      <c r="E4748" s="154"/>
    </row>
    <row r="4749" spans="4:5" x14ac:dyDescent="0.2">
      <c r="D4749" s="148"/>
      <c r="E4749" s="154"/>
    </row>
    <row r="4750" spans="4:5" x14ac:dyDescent="0.2">
      <c r="D4750" s="148"/>
      <c r="E4750" s="154"/>
    </row>
    <row r="4751" spans="4:5" x14ac:dyDescent="0.2">
      <c r="D4751" s="148"/>
      <c r="E4751" s="154"/>
    </row>
    <row r="4752" spans="4:5" x14ac:dyDescent="0.2">
      <c r="D4752" s="148"/>
      <c r="E4752" s="154"/>
    </row>
    <row r="4753" spans="4:5" x14ac:dyDescent="0.2">
      <c r="D4753" s="148"/>
      <c r="E4753" s="154"/>
    </row>
    <row r="4754" spans="4:5" x14ac:dyDescent="0.2">
      <c r="D4754" s="148"/>
      <c r="E4754" s="154"/>
    </row>
    <row r="4755" spans="4:5" x14ac:dyDescent="0.2">
      <c r="D4755" s="148"/>
      <c r="E4755" s="154"/>
    </row>
    <row r="4756" spans="4:5" x14ac:dyDescent="0.2">
      <c r="D4756" s="148"/>
      <c r="E4756" s="154"/>
    </row>
    <row r="4757" spans="4:5" x14ac:dyDescent="0.2">
      <c r="D4757" s="148"/>
      <c r="E4757" s="154"/>
    </row>
    <row r="4758" spans="4:5" x14ac:dyDescent="0.2">
      <c r="D4758" s="148"/>
      <c r="E4758" s="154"/>
    </row>
    <row r="4759" spans="4:5" x14ac:dyDescent="0.2">
      <c r="D4759" s="148"/>
      <c r="E4759" s="154"/>
    </row>
    <row r="4760" spans="4:5" x14ac:dyDescent="0.2">
      <c r="D4760" s="148"/>
      <c r="E4760" s="154"/>
    </row>
    <row r="4761" spans="4:5" x14ac:dyDescent="0.2">
      <c r="D4761" s="148"/>
      <c r="E4761" s="154"/>
    </row>
    <row r="4762" spans="4:5" x14ac:dyDescent="0.2">
      <c r="D4762" s="148"/>
      <c r="E4762" s="154"/>
    </row>
    <row r="4763" spans="4:5" x14ac:dyDescent="0.2">
      <c r="D4763" s="148"/>
      <c r="E4763" s="154"/>
    </row>
    <row r="4764" spans="4:5" x14ac:dyDescent="0.2">
      <c r="D4764" s="148"/>
      <c r="E4764" s="154"/>
    </row>
    <row r="4765" spans="4:5" x14ac:dyDescent="0.2">
      <c r="D4765" s="148"/>
      <c r="E4765" s="154"/>
    </row>
    <row r="4766" spans="4:5" x14ac:dyDescent="0.2">
      <c r="D4766" s="148"/>
      <c r="E4766" s="154"/>
    </row>
    <row r="4767" spans="4:5" x14ac:dyDescent="0.2">
      <c r="D4767" s="148"/>
      <c r="E4767" s="154"/>
    </row>
    <row r="4768" spans="4:5" x14ac:dyDescent="0.2">
      <c r="D4768" s="148"/>
      <c r="E4768" s="154"/>
    </row>
    <row r="4769" spans="4:5" x14ac:dyDescent="0.2">
      <c r="D4769" s="148"/>
      <c r="E4769" s="154"/>
    </row>
    <row r="4770" spans="4:5" x14ac:dyDescent="0.2">
      <c r="D4770" s="148"/>
      <c r="E4770" s="154"/>
    </row>
    <row r="4771" spans="4:5" x14ac:dyDescent="0.2">
      <c r="D4771" s="148"/>
      <c r="E4771" s="154"/>
    </row>
    <row r="4772" spans="4:5" x14ac:dyDescent="0.2">
      <c r="D4772" s="148"/>
      <c r="E4772" s="154"/>
    </row>
    <row r="4773" spans="4:5" x14ac:dyDescent="0.2">
      <c r="D4773" s="148"/>
      <c r="E4773" s="154"/>
    </row>
    <row r="4774" spans="4:5" x14ac:dyDescent="0.2">
      <c r="D4774" s="148"/>
      <c r="E4774" s="154"/>
    </row>
    <row r="4775" spans="4:5" x14ac:dyDescent="0.2">
      <c r="D4775" s="148"/>
      <c r="E4775" s="154"/>
    </row>
    <row r="4776" spans="4:5" x14ac:dyDescent="0.2">
      <c r="D4776" s="148"/>
      <c r="E4776" s="154"/>
    </row>
    <row r="4777" spans="4:5" x14ac:dyDescent="0.2">
      <c r="D4777" s="148"/>
      <c r="E4777" s="154"/>
    </row>
    <row r="4778" spans="4:5" x14ac:dyDescent="0.2">
      <c r="D4778" s="148"/>
      <c r="E4778" s="154"/>
    </row>
    <row r="4779" spans="4:5" x14ac:dyDescent="0.2">
      <c r="D4779" s="148"/>
      <c r="E4779" s="154"/>
    </row>
    <row r="4780" spans="4:5" x14ac:dyDescent="0.2">
      <c r="D4780" s="148"/>
      <c r="E4780" s="154"/>
    </row>
    <row r="4781" spans="4:5" x14ac:dyDescent="0.2">
      <c r="D4781" s="148"/>
      <c r="E4781" s="154"/>
    </row>
    <row r="4782" spans="4:5" x14ac:dyDescent="0.2">
      <c r="D4782" s="148"/>
      <c r="E4782" s="154"/>
    </row>
    <row r="4783" spans="4:5" x14ac:dyDescent="0.2">
      <c r="D4783" s="148"/>
      <c r="E4783" s="154"/>
    </row>
    <row r="4784" spans="4:5" x14ac:dyDescent="0.2">
      <c r="D4784" s="148"/>
      <c r="E4784" s="154"/>
    </row>
    <row r="4785" spans="4:5" x14ac:dyDescent="0.2">
      <c r="D4785" s="148"/>
      <c r="E4785" s="154"/>
    </row>
    <row r="4786" spans="4:5" x14ac:dyDescent="0.2">
      <c r="D4786" s="148"/>
      <c r="E4786" s="154"/>
    </row>
    <row r="4787" spans="4:5" x14ac:dyDescent="0.2">
      <c r="D4787" s="148"/>
      <c r="E4787" s="154"/>
    </row>
    <row r="4788" spans="4:5" x14ac:dyDescent="0.2">
      <c r="D4788" s="148"/>
      <c r="E4788" s="154"/>
    </row>
    <row r="4789" spans="4:5" x14ac:dyDescent="0.2">
      <c r="D4789" s="148"/>
      <c r="E4789" s="154"/>
    </row>
    <row r="4790" spans="4:5" x14ac:dyDescent="0.2">
      <c r="D4790" s="148"/>
      <c r="E4790" s="154"/>
    </row>
    <row r="4791" spans="4:5" x14ac:dyDescent="0.2">
      <c r="D4791" s="148"/>
      <c r="E4791" s="154"/>
    </row>
    <row r="4792" spans="4:5" x14ac:dyDescent="0.2">
      <c r="D4792" s="148"/>
      <c r="E4792" s="154"/>
    </row>
    <row r="4793" spans="4:5" x14ac:dyDescent="0.2">
      <c r="D4793" s="148"/>
      <c r="E4793" s="154"/>
    </row>
    <row r="4794" spans="4:5" x14ac:dyDescent="0.2">
      <c r="D4794" s="148"/>
      <c r="E4794" s="154"/>
    </row>
    <row r="4795" spans="4:5" x14ac:dyDescent="0.2">
      <c r="D4795" s="148"/>
      <c r="E4795" s="154"/>
    </row>
    <row r="4796" spans="4:5" x14ac:dyDescent="0.2">
      <c r="D4796" s="148"/>
      <c r="E4796" s="154"/>
    </row>
    <row r="4797" spans="4:5" x14ac:dyDescent="0.2">
      <c r="D4797" s="148"/>
      <c r="E4797" s="154"/>
    </row>
    <row r="4798" spans="4:5" x14ac:dyDescent="0.2">
      <c r="D4798" s="148"/>
      <c r="E4798" s="154"/>
    </row>
    <row r="4799" spans="4:5" x14ac:dyDescent="0.2">
      <c r="D4799" s="148"/>
      <c r="E4799" s="154"/>
    </row>
    <row r="4800" spans="4:5" x14ac:dyDescent="0.2">
      <c r="D4800" s="148"/>
      <c r="E4800" s="154"/>
    </row>
    <row r="4801" spans="4:5" x14ac:dyDescent="0.2">
      <c r="D4801" s="148"/>
      <c r="E4801" s="154"/>
    </row>
    <row r="4802" spans="4:5" x14ac:dyDescent="0.2">
      <c r="D4802" s="148"/>
      <c r="E4802" s="154"/>
    </row>
    <row r="4803" spans="4:5" x14ac:dyDescent="0.2">
      <c r="D4803" s="148"/>
      <c r="E4803" s="154"/>
    </row>
    <row r="4804" spans="4:5" x14ac:dyDescent="0.2">
      <c r="D4804" s="148"/>
      <c r="E4804" s="154"/>
    </row>
    <row r="4805" spans="4:5" x14ac:dyDescent="0.2">
      <c r="D4805" s="148"/>
      <c r="E4805" s="154"/>
    </row>
    <row r="4806" spans="4:5" x14ac:dyDescent="0.2">
      <c r="D4806" s="148"/>
      <c r="E4806" s="154"/>
    </row>
    <row r="4807" spans="4:5" x14ac:dyDescent="0.2">
      <c r="D4807" s="148"/>
      <c r="E4807" s="154"/>
    </row>
    <row r="4808" spans="4:5" x14ac:dyDescent="0.2">
      <c r="D4808" s="148"/>
      <c r="E4808" s="154"/>
    </row>
    <row r="4809" spans="4:5" x14ac:dyDescent="0.2">
      <c r="D4809" s="148"/>
      <c r="E4809" s="154"/>
    </row>
    <row r="4810" spans="4:5" x14ac:dyDescent="0.2">
      <c r="D4810" s="148"/>
      <c r="E4810" s="154"/>
    </row>
    <row r="4811" spans="4:5" x14ac:dyDescent="0.2">
      <c r="D4811" s="148"/>
      <c r="E4811" s="154"/>
    </row>
    <row r="4812" spans="4:5" x14ac:dyDescent="0.2">
      <c r="D4812" s="148"/>
      <c r="E4812" s="154"/>
    </row>
    <row r="4813" spans="4:5" x14ac:dyDescent="0.2">
      <c r="D4813" s="148"/>
      <c r="E4813" s="154"/>
    </row>
    <row r="4814" spans="4:5" x14ac:dyDescent="0.2">
      <c r="D4814" s="148"/>
      <c r="E4814" s="154"/>
    </row>
    <row r="4815" spans="4:5" x14ac:dyDescent="0.2">
      <c r="D4815" s="148"/>
      <c r="E4815" s="154"/>
    </row>
    <row r="4816" spans="4:5" x14ac:dyDescent="0.2">
      <c r="D4816" s="148"/>
      <c r="E4816" s="154"/>
    </row>
    <row r="4817" spans="4:5" x14ac:dyDescent="0.2">
      <c r="D4817" s="148"/>
      <c r="E4817" s="154"/>
    </row>
    <row r="4818" spans="4:5" x14ac:dyDescent="0.2">
      <c r="D4818" s="148"/>
      <c r="E4818" s="154"/>
    </row>
    <row r="4819" spans="4:5" x14ac:dyDescent="0.2">
      <c r="D4819" s="148"/>
      <c r="E4819" s="154"/>
    </row>
    <row r="4820" spans="4:5" x14ac:dyDescent="0.2">
      <c r="D4820" s="148"/>
      <c r="E4820" s="154"/>
    </row>
    <row r="4821" spans="4:5" x14ac:dyDescent="0.2">
      <c r="D4821" s="148"/>
      <c r="E4821" s="154"/>
    </row>
    <row r="4822" spans="4:5" x14ac:dyDescent="0.2">
      <c r="D4822" s="148"/>
      <c r="E4822" s="154"/>
    </row>
    <row r="4823" spans="4:5" x14ac:dyDescent="0.2">
      <c r="D4823" s="148"/>
      <c r="E4823" s="154"/>
    </row>
    <row r="4824" spans="4:5" x14ac:dyDescent="0.2">
      <c r="D4824" s="148"/>
      <c r="E4824" s="154"/>
    </row>
    <row r="4825" spans="4:5" x14ac:dyDescent="0.2">
      <c r="D4825" s="148"/>
      <c r="E4825" s="154"/>
    </row>
    <row r="4826" spans="4:5" x14ac:dyDescent="0.2">
      <c r="D4826" s="148"/>
      <c r="E4826" s="154"/>
    </row>
    <row r="4827" spans="4:5" x14ac:dyDescent="0.2">
      <c r="D4827" s="148"/>
      <c r="E4827" s="154"/>
    </row>
    <row r="4828" spans="4:5" x14ac:dyDescent="0.2">
      <c r="D4828" s="148"/>
      <c r="E4828" s="154"/>
    </row>
    <row r="4829" spans="4:5" x14ac:dyDescent="0.2">
      <c r="D4829" s="148"/>
      <c r="E4829" s="154"/>
    </row>
    <row r="4830" spans="4:5" x14ac:dyDescent="0.2">
      <c r="D4830" s="148"/>
      <c r="E4830" s="154"/>
    </row>
    <row r="4831" spans="4:5" x14ac:dyDescent="0.2">
      <c r="D4831" s="148"/>
      <c r="E4831" s="154"/>
    </row>
    <row r="4832" spans="4:5" x14ac:dyDescent="0.2">
      <c r="D4832" s="148"/>
      <c r="E4832" s="154"/>
    </row>
    <row r="4833" spans="4:5" x14ac:dyDescent="0.2">
      <c r="D4833" s="148"/>
      <c r="E4833" s="154"/>
    </row>
    <row r="4834" spans="4:5" x14ac:dyDescent="0.2">
      <c r="D4834" s="148"/>
      <c r="E4834" s="154"/>
    </row>
    <row r="4835" spans="4:5" x14ac:dyDescent="0.2">
      <c r="D4835" s="148"/>
      <c r="E4835" s="154"/>
    </row>
    <row r="4836" spans="4:5" x14ac:dyDescent="0.2">
      <c r="D4836" s="148"/>
      <c r="E4836" s="154"/>
    </row>
    <row r="4837" spans="4:5" x14ac:dyDescent="0.2">
      <c r="D4837" s="148"/>
      <c r="E4837" s="154"/>
    </row>
    <row r="4838" spans="4:5" x14ac:dyDescent="0.2">
      <c r="D4838" s="148"/>
      <c r="E4838" s="154"/>
    </row>
    <row r="4839" spans="4:5" x14ac:dyDescent="0.2">
      <c r="D4839" s="148"/>
      <c r="E4839" s="154"/>
    </row>
    <row r="4840" spans="4:5" x14ac:dyDescent="0.2">
      <c r="D4840" s="148"/>
      <c r="E4840" s="154"/>
    </row>
    <row r="4841" spans="4:5" x14ac:dyDescent="0.2">
      <c r="D4841" s="148"/>
      <c r="E4841" s="154"/>
    </row>
    <row r="4842" spans="4:5" x14ac:dyDescent="0.2">
      <c r="D4842" s="148"/>
      <c r="E4842" s="154"/>
    </row>
    <row r="4843" spans="4:5" x14ac:dyDescent="0.2">
      <c r="D4843" s="148"/>
      <c r="E4843" s="154"/>
    </row>
    <row r="4844" spans="4:5" x14ac:dyDescent="0.2">
      <c r="D4844" s="148"/>
      <c r="E4844" s="154"/>
    </row>
    <row r="4845" spans="4:5" x14ac:dyDescent="0.2">
      <c r="D4845" s="148"/>
      <c r="E4845" s="154"/>
    </row>
    <row r="4846" spans="4:5" x14ac:dyDescent="0.2">
      <c r="D4846" s="148"/>
      <c r="E4846" s="154"/>
    </row>
    <row r="4847" spans="4:5" x14ac:dyDescent="0.2">
      <c r="D4847" s="148"/>
      <c r="E4847" s="154"/>
    </row>
    <row r="4848" spans="4:5" x14ac:dyDescent="0.2">
      <c r="D4848" s="148"/>
      <c r="E4848" s="154"/>
    </row>
    <row r="4849" spans="4:5" x14ac:dyDescent="0.2">
      <c r="D4849" s="148"/>
      <c r="E4849" s="154"/>
    </row>
    <row r="4850" spans="4:5" x14ac:dyDescent="0.2">
      <c r="D4850" s="148"/>
      <c r="E4850" s="154"/>
    </row>
    <row r="4851" spans="4:5" x14ac:dyDescent="0.2">
      <c r="D4851" s="148"/>
      <c r="E4851" s="154"/>
    </row>
    <row r="4852" spans="4:5" x14ac:dyDescent="0.2">
      <c r="D4852" s="148"/>
      <c r="E4852" s="154"/>
    </row>
    <row r="4853" spans="4:5" x14ac:dyDescent="0.2">
      <c r="D4853" s="148"/>
      <c r="E4853" s="154"/>
    </row>
    <row r="4854" spans="4:5" x14ac:dyDescent="0.2">
      <c r="D4854" s="148"/>
      <c r="E4854" s="154"/>
    </row>
    <row r="4855" spans="4:5" x14ac:dyDescent="0.2">
      <c r="D4855" s="148"/>
      <c r="E4855" s="154"/>
    </row>
    <row r="4856" spans="4:5" x14ac:dyDescent="0.2">
      <c r="D4856" s="148"/>
      <c r="E4856" s="154"/>
    </row>
    <row r="4857" spans="4:5" x14ac:dyDescent="0.2">
      <c r="D4857" s="148"/>
      <c r="E4857" s="154"/>
    </row>
    <row r="4858" spans="4:5" x14ac:dyDescent="0.2">
      <c r="D4858" s="148"/>
      <c r="E4858" s="154"/>
    </row>
    <row r="4859" spans="4:5" x14ac:dyDescent="0.2">
      <c r="D4859" s="148"/>
      <c r="E4859" s="154"/>
    </row>
    <row r="4860" spans="4:5" x14ac:dyDescent="0.2">
      <c r="D4860" s="148"/>
      <c r="E4860" s="154"/>
    </row>
    <row r="4861" spans="4:5" x14ac:dyDescent="0.2">
      <c r="D4861" s="148"/>
      <c r="E4861" s="154"/>
    </row>
    <row r="4862" spans="4:5" x14ac:dyDescent="0.2">
      <c r="D4862" s="148"/>
      <c r="E4862" s="154"/>
    </row>
    <row r="4863" spans="4:5" x14ac:dyDescent="0.2">
      <c r="D4863" s="148"/>
      <c r="E4863" s="154"/>
    </row>
    <row r="4864" spans="4:5" x14ac:dyDescent="0.2">
      <c r="D4864" s="148"/>
      <c r="E4864" s="154"/>
    </row>
    <row r="4865" spans="4:5" x14ac:dyDescent="0.2">
      <c r="D4865" s="148"/>
      <c r="E4865" s="154"/>
    </row>
    <row r="4866" spans="4:5" x14ac:dyDescent="0.2">
      <c r="D4866" s="148"/>
      <c r="E4866" s="154"/>
    </row>
    <row r="4867" spans="4:5" x14ac:dyDescent="0.2">
      <c r="D4867" s="148"/>
      <c r="E4867" s="154"/>
    </row>
    <row r="4868" spans="4:5" x14ac:dyDescent="0.2">
      <c r="D4868" s="148"/>
      <c r="E4868" s="154"/>
    </row>
    <row r="4869" spans="4:5" x14ac:dyDescent="0.2">
      <c r="D4869" s="148"/>
      <c r="E4869" s="154"/>
    </row>
    <row r="4870" spans="4:5" x14ac:dyDescent="0.2">
      <c r="D4870" s="148"/>
      <c r="E4870" s="154"/>
    </row>
    <row r="4871" spans="4:5" x14ac:dyDescent="0.2">
      <c r="D4871" s="148"/>
      <c r="E4871" s="154"/>
    </row>
    <row r="4872" spans="4:5" x14ac:dyDescent="0.2">
      <c r="D4872" s="148"/>
      <c r="E4872" s="154"/>
    </row>
    <row r="4873" spans="4:5" x14ac:dyDescent="0.2">
      <c r="D4873" s="148"/>
      <c r="E4873" s="154"/>
    </row>
    <row r="4874" spans="4:5" x14ac:dyDescent="0.2">
      <c r="D4874" s="148"/>
      <c r="E4874" s="154"/>
    </row>
    <row r="4875" spans="4:5" x14ac:dyDescent="0.2">
      <c r="D4875" s="148"/>
      <c r="E4875" s="154"/>
    </row>
    <row r="4876" spans="4:5" x14ac:dyDescent="0.2">
      <c r="D4876" s="148"/>
      <c r="E4876" s="154"/>
    </row>
    <row r="4877" spans="4:5" x14ac:dyDescent="0.2">
      <c r="D4877" s="148"/>
      <c r="E4877" s="154"/>
    </row>
    <row r="4878" spans="4:5" x14ac:dyDescent="0.2">
      <c r="D4878" s="148"/>
      <c r="E4878" s="154"/>
    </row>
    <row r="4879" spans="4:5" x14ac:dyDescent="0.2">
      <c r="D4879" s="148"/>
      <c r="E4879" s="154"/>
    </row>
    <row r="4880" spans="4:5" x14ac:dyDescent="0.2">
      <c r="D4880" s="148"/>
      <c r="E4880" s="154"/>
    </row>
    <row r="4881" spans="4:5" x14ac:dyDescent="0.2">
      <c r="D4881" s="148"/>
      <c r="E4881" s="154"/>
    </row>
    <row r="4882" spans="4:5" x14ac:dyDescent="0.2">
      <c r="D4882" s="148"/>
      <c r="E4882" s="154"/>
    </row>
    <row r="4883" spans="4:5" x14ac:dyDescent="0.2">
      <c r="D4883" s="148"/>
      <c r="E4883" s="154"/>
    </row>
    <row r="4884" spans="4:5" x14ac:dyDescent="0.2">
      <c r="D4884" s="148"/>
      <c r="E4884" s="154"/>
    </row>
    <row r="4885" spans="4:5" x14ac:dyDescent="0.2">
      <c r="D4885" s="148"/>
      <c r="E4885" s="154"/>
    </row>
    <row r="4886" spans="4:5" x14ac:dyDescent="0.2">
      <c r="D4886" s="148"/>
      <c r="E4886" s="154"/>
    </row>
    <row r="4887" spans="4:5" x14ac:dyDescent="0.2">
      <c r="D4887" s="148"/>
      <c r="E4887" s="154"/>
    </row>
    <row r="4888" spans="4:5" x14ac:dyDescent="0.2">
      <c r="D4888" s="148"/>
      <c r="E4888" s="154"/>
    </row>
    <row r="4889" spans="4:5" x14ac:dyDescent="0.2">
      <c r="D4889" s="148"/>
      <c r="E4889" s="154"/>
    </row>
    <row r="4890" spans="4:5" x14ac:dyDescent="0.2">
      <c r="D4890" s="148"/>
      <c r="E4890" s="154"/>
    </row>
    <row r="4891" spans="4:5" x14ac:dyDescent="0.2">
      <c r="D4891" s="148"/>
      <c r="E4891" s="154"/>
    </row>
    <row r="4892" spans="4:5" x14ac:dyDescent="0.2">
      <c r="D4892" s="148"/>
      <c r="E4892" s="154"/>
    </row>
    <row r="4893" spans="4:5" x14ac:dyDescent="0.2">
      <c r="D4893" s="148"/>
      <c r="E4893" s="154"/>
    </row>
    <row r="4894" spans="4:5" x14ac:dyDescent="0.2">
      <c r="D4894" s="148"/>
      <c r="E4894" s="154"/>
    </row>
    <row r="4895" spans="4:5" x14ac:dyDescent="0.2">
      <c r="D4895" s="148"/>
      <c r="E4895" s="154"/>
    </row>
    <row r="4896" spans="4:5" x14ac:dyDescent="0.2">
      <c r="D4896" s="148"/>
      <c r="E4896" s="154"/>
    </row>
    <row r="4897" spans="4:5" x14ac:dyDescent="0.2">
      <c r="D4897" s="148"/>
      <c r="E4897" s="154"/>
    </row>
    <row r="4898" spans="4:5" x14ac:dyDescent="0.2">
      <c r="D4898" s="148"/>
      <c r="E4898" s="154"/>
    </row>
    <row r="4899" spans="4:5" x14ac:dyDescent="0.2">
      <c r="D4899" s="148"/>
      <c r="E4899" s="154"/>
    </row>
    <row r="4900" spans="4:5" x14ac:dyDescent="0.2">
      <c r="D4900" s="148"/>
      <c r="E4900" s="154"/>
    </row>
    <row r="4901" spans="4:5" x14ac:dyDescent="0.2">
      <c r="D4901" s="148"/>
      <c r="E4901" s="154"/>
    </row>
    <row r="4902" spans="4:5" x14ac:dyDescent="0.2">
      <c r="D4902" s="148"/>
      <c r="E4902" s="154"/>
    </row>
    <row r="4903" spans="4:5" x14ac:dyDescent="0.2">
      <c r="D4903" s="148"/>
      <c r="E4903" s="154"/>
    </row>
    <row r="4904" spans="4:5" x14ac:dyDescent="0.2">
      <c r="D4904" s="148"/>
      <c r="E4904" s="154"/>
    </row>
    <row r="4905" spans="4:5" x14ac:dyDescent="0.2">
      <c r="D4905" s="148"/>
      <c r="E4905" s="154"/>
    </row>
    <row r="4906" spans="4:5" x14ac:dyDescent="0.2">
      <c r="D4906" s="148"/>
      <c r="E4906" s="154"/>
    </row>
    <row r="4907" spans="4:5" x14ac:dyDescent="0.2">
      <c r="D4907" s="148"/>
      <c r="E4907" s="154"/>
    </row>
    <row r="4908" spans="4:5" x14ac:dyDescent="0.2">
      <c r="D4908" s="148"/>
      <c r="E4908" s="154"/>
    </row>
    <row r="4909" spans="4:5" x14ac:dyDescent="0.2">
      <c r="D4909" s="148"/>
      <c r="E4909" s="154"/>
    </row>
    <row r="4910" spans="4:5" x14ac:dyDescent="0.2">
      <c r="D4910" s="148"/>
      <c r="E4910" s="154"/>
    </row>
    <row r="4911" spans="4:5" x14ac:dyDescent="0.2">
      <c r="D4911" s="148"/>
      <c r="E4911" s="154"/>
    </row>
    <row r="4912" spans="4:5" x14ac:dyDescent="0.2">
      <c r="D4912" s="148"/>
      <c r="E4912" s="154"/>
    </row>
    <row r="4913" spans="4:5" x14ac:dyDescent="0.2">
      <c r="D4913" s="148"/>
      <c r="E4913" s="154"/>
    </row>
    <row r="4914" spans="4:5" x14ac:dyDescent="0.2">
      <c r="D4914" s="148"/>
      <c r="E4914" s="154"/>
    </row>
    <row r="4915" spans="4:5" x14ac:dyDescent="0.2">
      <c r="D4915" s="148"/>
      <c r="E4915" s="154"/>
    </row>
    <row r="4916" spans="4:5" x14ac:dyDescent="0.2">
      <c r="D4916" s="148"/>
      <c r="E4916" s="154"/>
    </row>
    <row r="4917" spans="4:5" x14ac:dyDescent="0.2">
      <c r="D4917" s="148"/>
      <c r="E4917" s="154"/>
    </row>
    <row r="4918" spans="4:5" x14ac:dyDescent="0.2">
      <c r="D4918" s="148"/>
      <c r="E4918" s="154"/>
    </row>
    <row r="4919" spans="4:5" x14ac:dyDescent="0.2">
      <c r="D4919" s="148"/>
      <c r="E4919" s="154"/>
    </row>
    <row r="4920" spans="4:5" x14ac:dyDescent="0.2">
      <c r="D4920" s="148"/>
      <c r="E4920" s="154"/>
    </row>
    <row r="4921" spans="4:5" x14ac:dyDescent="0.2">
      <c r="D4921" s="148"/>
      <c r="E4921" s="154"/>
    </row>
    <row r="4922" spans="4:5" x14ac:dyDescent="0.2">
      <c r="D4922" s="148"/>
      <c r="E4922" s="154"/>
    </row>
    <row r="4923" spans="4:5" x14ac:dyDescent="0.2">
      <c r="D4923" s="148"/>
      <c r="E4923" s="154"/>
    </row>
    <row r="4924" spans="4:5" x14ac:dyDescent="0.2">
      <c r="D4924" s="148"/>
      <c r="E4924" s="154"/>
    </row>
    <row r="4925" spans="4:5" x14ac:dyDescent="0.2">
      <c r="D4925" s="148"/>
      <c r="E4925" s="154"/>
    </row>
    <row r="4926" spans="4:5" x14ac:dyDescent="0.2">
      <c r="D4926" s="148"/>
      <c r="E4926" s="154"/>
    </row>
    <row r="4927" spans="4:5" x14ac:dyDescent="0.2">
      <c r="D4927" s="148"/>
      <c r="E4927" s="154"/>
    </row>
    <row r="4928" spans="4:5" x14ac:dyDescent="0.2">
      <c r="D4928" s="148"/>
      <c r="E4928" s="154"/>
    </row>
    <row r="4929" spans="4:5" x14ac:dyDescent="0.2">
      <c r="D4929" s="148"/>
      <c r="E4929" s="154"/>
    </row>
    <row r="4930" spans="4:5" x14ac:dyDescent="0.2">
      <c r="D4930" s="148"/>
      <c r="E4930" s="154"/>
    </row>
    <row r="4931" spans="4:5" x14ac:dyDescent="0.2">
      <c r="D4931" s="148"/>
      <c r="E4931" s="154"/>
    </row>
    <row r="4932" spans="4:5" x14ac:dyDescent="0.2">
      <c r="D4932" s="148"/>
      <c r="E4932" s="154"/>
    </row>
    <row r="4933" spans="4:5" x14ac:dyDescent="0.2">
      <c r="D4933" s="148"/>
      <c r="E4933" s="154"/>
    </row>
    <row r="4934" spans="4:5" x14ac:dyDescent="0.2">
      <c r="D4934" s="148"/>
      <c r="E4934" s="154"/>
    </row>
    <row r="4935" spans="4:5" x14ac:dyDescent="0.2">
      <c r="D4935" s="148"/>
      <c r="E4935" s="154"/>
    </row>
    <row r="4936" spans="4:5" x14ac:dyDescent="0.2">
      <c r="D4936" s="148"/>
      <c r="E4936" s="154"/>
    </row>
    <row r="4937" spans="4:5" x14ac:dyDescent="0.2">
      <c r="D4937" s="148"/>
      <c r="E4937" s="154"/>
    </row>
    <row r="4938" spans="4:5" x14ac:dyDescent="0.2">
      <c r="D4938" s="148"/>
      <c r="E4938" s="154"/>
    </row>
    <row r="4939" spans="4:5" x14ac:dyDescent="0.2">
      <c r="D4939" s="148"/>
      <c r="E4939" s="154"/>
    </row>
    <row r="4940" spans="4:5" x14ac:dyDescent="0.2">
      <c r="D4940" s="148"/>
      <c r="E4940" s="154"/>
    </row>
    <row r="4941" spans="4:5" x14ac:dyDescent="0.2">
      <c r="D4941" s="148"/>
      <c r="E4941" s="154"/>
    </row>
    <row r="4942" spans="4:5" x14ac:dyDescent="0.2">
      <c r="D4942" s="148"/>
      <c r="E4942" s="154"/>
    </row>
    <row r="4943" spans="4:5" x14ac:dyDescent="0.2">
      <c r="D4943" s="148"/>
      <c r="E4943" s="154"/>
    </row>
    <row r="4944" spans="4:5" x14ac:dyDescent="0.2">
      <c r="D4944" s="148"/>
      <c r="E4944" s="154"/>
    </row>
    <row r="4945" spans="4:5" x14ac:dyDescent="0.2">
      <c r="D4945" s="148"/>
      <c r="E4945" s="154"/>
    </row>
    <row r="4946" spans="4:5" x14ac:dyDescent="0.2">
      <c r="D4946" s="148"/>
      <c r="E4946" s="154"/>
    </row>
    <row r="4947" spans="4:5" x14ac:dyDescent="0.2">
      <c r="D4947" s="148"/>
      <c r="E4947" s="154"/>
    </row>
    <row r="4948" spans="4:5" x14ac:dyDescent="0.2">
      <c r="D4948" s="148"/>
      <c r="E4948" s="154"/>
    </row>
    <row r="4949" spans="4:5" x14ac:dyDescent="0.2">
      <c r="D4949" s="148"/>
      <c r="E4949" s="154"/>
    </row>
    <row r="4950" spans="4:5" x14ac:dyDescent="0.2">
      <c r="D4950" s="148"/>
      <c r="E4950" s="154"/>
    </row>
    <row r="4951" spans="4:5" x14ac:dyDescent="0.2">
      <c r="D4951" s="148"/>
      <c r="E4951" s="154"/>
    </row>
    <row r="4952" spans="4:5" x14ac:dyDescent="0.2">
      <c r="D4952" s="148"/>
      <c r="E4952" s="154"/>
    </row>
    <row r="4953" spans="4:5" x14ac:dyDescent="0.2">
      <c r="D4953" s="148"/>
      <c r="E4953" s="154"/>
    </row>
    <row r="4954" spans="4:5" x14ac:dyDescent="0.2">
      <c r="D4954" s="148"/>
      <c r="E4954" s="154"/>
    </row>
    <row r="4955" spans="4:5" x14ac:dyDescent="0.2">
      <c r="D4955" s="148"/>
      <c r="E4955" s="154"/>
    </row>
    <row r="4956" spans="4:5" x14ac:dyDescent="0.2">
      <c r="D4956" s="148"/>
      <c r="E4956" s="154"/>
    </row>
    <row r="4957" spans="4:5" x14ac:dyDescent="0.2">
      <c r="D4957" s="148"/>
      <c r="E4957" s="154"/>
    </row>
    <row r="4958" spans="4:5" x14ac:dyDescent="0.2">
      <c r="D4958" s="148"/>
      <c r="E4958" s="154"/>
    </row>
    <row r="4959" spans="4:5" x14ac:dyDescent="0.2">
      <c r="D4959" s="148"/>
      <c r="E4959" s="154"/>
    </row>
    <row r="4960" spans="4:5" x14ac:dyDescent="0.2">
      <c r="D4960" s="148"/>
      <c r="E4960" s="154"/>
    </row>
    <row r="4961" spans="4:5" x14ac:dyDescent="0.2">
      <c r="D4961" s="148"/>
      <c r="E4961" s="154"/>
    </row>
    <row r="4962" spans="4:5" x14ac:dyDescent="0.2">
      <c r="D4962" s="148"/>
      <c r="E4962" s="154"/>
    </row>
    <row r="4963" spans="4:5" x14ac:dyDescent="0.2">
      <c r="D4963" s="148"/>
      <c r="E4963" s="154"/>
    </row>
    <row r="4964" spans="4:5" x14ac:dyDescent="0.2">
      <c r="D4964" s="148"/>
      <c r="E4964" s="154"/>
    </row>
    <row r="4965" spans="4:5" x14ac:dyDescent="0.2">
      <c r="D4965" s="148"/>
      <c r="E4965" s="154"/>
    </row>
    <row r="4966" spans="4:5" x14ac:dyDescent="0.2">
      <c r="D4966" s="148"/>
      <c r="E4966" s="154"/>
    </row>
    <row r="4967" spans="4:5" x14ac:dyDescent="0.2">
      <c r="D4967" s="148"/>
      <c r="E4967" s="154"/>
    </row>
    <row r="4968" spans="4:5" x14ac:dyDescent="0.2">
      <c r="D4968" s="148"/>
      <c r="E4968" s="154"/>
    </row>
    <row r="4969" spans="4:5" x14ac:dyDescent="0.2">
      <c r="D4969" s="148"/>
      <c r="E4969" s="154"/>
    </row>
    <row r="4970" spans="4:5" x14ac:dyDescent="0.2">
      <c r="D4970" s="148"/>
      <c r="E4970" s="154"/>
    </row>
    <row r="4971" spans="4:5" x14ac:dyDescent="0.2">
      <c r="D4971" s="148"/>
      <c r="E4971" s="154"/>
    </row>
    <row r="4972" spans="4:5" x14ac:dyDescent="0.2">
      <c r="D4972" s="148"/>
      <c r="E4972" s="154"/>
    </row>
    <row r="4973" spans="4:5" x14ac:dyDescent="0.2">
      <c r="D4973" s="148"/>
      <c r="E4973" s="154"/>
    </row>
    <row r="4974" spans="4:5" x14ac:dyDescent="0.2">
      <c r="D4974" s="148"/>
      <c r="E4974" s="154"/>
    </row>
    <row r="4975" spans="4:5" x14ac:dyDescent="0.2">
      <c r="D4975" s="148"/>
      <c r="E4975" s="154"/>
    </row>
    <row r="4976" spans="4:5" x14ac:dyDescent="0.2">
      <c r="D4976" s="148"/>
      <c r="E4976" s="154"/>
    </row>
    <row r="4977" spans="4:5" x14ac:dyDescent="0.2">
      <c r="D4977" s="148"/>
      <c r="E4977" s="154"/>
    </row>
    <row r="4978" spans="4:5" x14ac:dyDescent="0.2">
      <c r="D4978" s="148"/>
      <c r="E4978" s="154"/>
    </row>
    <row r="4979" spans="4:5" x14ac:dyDescent="0.2">
      <c r="D4979" s="148"/>
      <c r="E4979" s="154"/>
    </row>
    <row r="4980" spans="4:5" x14ac:dyDescent="0.2">
      <c r="D4980" s="148"/>
      <c r="E4980" s="154"/>
    </row>
    <row r="4981" spans="4:5" x14ac:dyDescent="0.2">
      <c r="D4981" s="148"/>
      <c r="E4981" s="154"/>
    </row>
    <row r="4982" spans="4:5" x14ac:dyDescent="0.2">
      <c r="D4982" s="148"/>
      <c r="E4982" s="154"/>
    </row>
    <row r="4983" spans="4:5" x14ac:dyDescent="0.2">
      <c r="D4983" s="148"/>
      <c r="E4983" s="154"/>
    </row>
    <row r="4984" spans="4:5" x14ac:dyDescent="0.2">
      <c r="D4984" s="148"/>
      <c r="E4984" s="154"/>
    </row>
    <row r="4985" spans="4:5" x14ac:dyDescent="0.2">
      <c r="D4985" s="148"/>
      <c r="E4985" s="154"/>
    </row>
    <row r="4986" spans="4:5" x14ac:dyDescent="0.2">
      <c r="D4986" s="148"/>
      <c r="E4986" s="154"/>
    </row>
    <row r="4987" spans="4:5" x14ac:dyDescent="0.2">
      <c r="D4987" s="148"/>
      <c r="E4987" s="154"/>
    </row>
    <row r="4988" spans="4:5" x14ac:dyDescent="0.2">
      <c r="D4988" s="148"/>
      <c r="E4988" s="154"/>
    </row>
    <row r="4989" spans="4:5" x14ac:dyDescent="0.2">
      <c r="D4989" s="148"/>
      <c r="E4989" s="154"/>
    </row>
    <row r="4990" spans="4:5" x14ac:dyDescent="0.2">
      <c r="D4990" s="148"/>
      <c r="E4990" s="154"/>
    </row>
    <row r="4991" spans="4:5" x14ac:dyDescent="0.2">
      <c r="D4991" s="148"/>
      <c r="E4991" s="154"/>
    </row>
    <row r="4992" spans="4:5" x14ac:dyDescent="0.2">
      <c r="D4992" s="148"/>
      <c r="E4992" s="154"/>
    </row>
    <row r="4993" spans="4:5" x14ac:dyDescent="0.2">
      <c r="D4993" s="148"/>
      <c r="E4993" s="154"/>
    </row>
    <row r="4994" spans="4:5" x14ac:dyDescent="0.2">
      <c r="D4994" s="148"/>
      <c r="E4994" s="154"/>
    </row>
    <row r="4995" spans="4:5" x14ac:dyDescent="0.2">
      <c r="D4995" s="148"/>
      <c r="E4995" s="154"/>
    </row>
    <row r="4996" spans="4:5" x14ac:dyDescent="0.2">
      <c r="D4996" s="148"/>
      <c r="E4996" s="154"/>
    </row>
    <row r="4997" spans="4:5" x14ac:dyDescent="0.2">
      <c r="D4997" s="148"/>
      <c r="E4997" s="154"/>
    </row>
    <row r="4998" spans="4:5" x14ac:dyDescent="0.2">
      <c r="D4998" s="148"/>
      <c r="E4998" s="154"/>
    </row>
    <row r="4999" spans="4:5" x14ac:dyDescent="0.2">
      <c r="D4999" s="148"/>
      <c r="E4999" s="154"/>
    </row>
    <row r="5000" spans="4:5" x14ac:dyDescent="0.2">
      <c r="D5000" s="148"/>
      <c r="E5000" s="154"/>
    </row>
    <row r="5001" spans="4:5" x14ac:dyDescent="0.2">
      <c r="D5001" s="148"/>
      <c r="E5001" s="154"/>
    </row>
    <row r="5002" spans="4:5" x14ac:dyDescent="0.2">
      <c r="D5002" s="148"/>
      <c r="E5002" s="154"/>
    </row>
    <row r="5003" spans="4:5" x14ac:dyDescent="0.2">
      <c r="D5003" s="148"/>
      <c r="E5003" s="154"/>
    </row>
    <row r="5004" spans="4:5" x14ac:dyDescent="0.2">
      <c r="D5004" s="148"/>
      <c r="E5004" s="154"/>
    </row>
    <row r="5005" spans="4:5" x14ac:dyDescent="0.2">
      <c r="D5005" s="148"/>
      <c r="E5005" s="154"/>
    </row>
    <row r="5006" spans="4:5" x14ac:dyDescent="0.2">
      <c r="D5006" s="148"/>
      <c r="E5006" s="154"/>
    </row>
    <row r="5007" spans="4:5" x14ac:dyDescent="0.2">
      <c r="D5007" s="148"/>
      <c r="E5007" s="154"/>
    </row>
    <row r="5008" spans="4:5" x14ac:dyDescent="0.2">
      <c r="D5008" s="148"/>
      <c r="E5008" s="154"/>
    </row>
    <row r="5009" spans="4:5" x14ac:dyDescent="0.2">
      <c r="D5009" s="148"/>
      <c r="E5009" s="154"/>
    </row>
    <row r="5010" spans="4:5" x14ac:dyDescent="0.2">
      <c r="D5010" s="148"/>
      <c r="E5010" s="154"/>
    </row>
    <row r="5011" spans="4:5" x14ac:dyDescent="0.2">
      <c r="D5011" s="148"/>
      <c r="E5011" s="154"/>
    </row>
    <row r="5012" spans="4:5" x14ac:dyDescent="0.2">
      <c r="D5012" s="148"/>
      <c r="E5012" s="154"/>
    </row>
    <row r="5013" spans="4:5" x14ac:dyDescent="0.2">
      <c r="D5013" s="148"/>
      <c r="E5013" s="154"/>
    </row>
    <row r="5014" spans="4:5" x14ac:dyDescent="0.2">
      <c r="D5014" s="148"/>
      <c r="E5014" s="154"/>
    </row>
    <row r="5015" spans="4:5" x14ac:dyDescent="0.2">
      <c r="D5015" s="148"/>
      <c r="E5015" s="154"/>
    </row>
    <row r="5016" spans="4:5" x14ac:dyDescent="0.2">
      <c r="D5016" s="148"/>
      <c r="E5016" s="154"/>
    </row>
    <row r="5017" spans="4:5" x14ac:dyDescent="0.2">
      <c r="D5017" s="148"/>
      <c r="E5017" s="154"/>
    </row>
    <row r="5018" spans="4:5" x14ac:dyDescent="0.2">
      <c r="D5018" s="148"/>
      <c r="E5018" s="154"/>
    </row>
    <row r="5019" spans="4:5" x14ac:dyDescent="0.2">
      <c r="D5019" s="148"/>
      <c r="E5019" s="154"/>
    </row>
    <row r="5020" spans="4:5" x14ac:dyDescent="0.2">
      <c r="D5020" s="148"/>
      <c r="E5020" s="154"/>
    </row>
    <row r="5021" spans="4:5" x14ac:dyDescent="0.2">
      <c r="D5021" s="148"/>
      <c r="E5021" s="154"/>
    </row>
    <row r="5022" spans="4:5" x14ac:dyDescent="0.2">
      <c r="D5022" s="148"/>
      <c r="E5022" s="154"/>
    </row>
    <row r="5023" spans="4:5" x14ac:dyDescent="0.2">
      <c r="D5023" s="148"/>
      <c r="E5023" s="154"/>
    </row>
    <row r="5024" spans="4:5" x14ac:dyDescent="0.2">
      <c r="D5024" s="148"/>
      <c r="E5024" s="154"/>
    </row>
    <row r="5025" spans="4:5" x14ac:dyDescent="0.2">
      <c r="D5025" s="148"/>
      <c r="E5025" s="154"/>
    </row>
    <row r="5026" spans="4:5" x14ac:dyDescent="0.2">
      <c r="D5026" s="148"/>
      <c r="E5026" s="154"/>
    </row>
    <row r="5027" spans="4:5" x14ac:dyDescent="0.2">
      <c r="D5027" s="148"/>
      <c r="E5027" s="154"/>
    </row>
    <row r="5028" spans="4:5" x14ac:dyDescent="0.2">
      <c r="D5028" s="148"/>
      <c r="E5028" s="154"/>
    </row>
    <row r="5029" spans="4:5" x14ac:dyDescent="0.2">
      <c r="D5029" s="148"/>
      <c r="E5029" s="154"/>
    </row>
    <row r="5030" spans="4:5" x14ac:dyDescent="0.2">
      <c r="D5030" s="148"/>
      <c r="E5030" s="154"/>
    </row>
    <row r="5031" spans="4:5" x14ac:dyDescent="0.2">
      <c r="D5031" s="148"/>
      <c r="E5031" s="154"/>
    </row>
    <row r="5032" spans="4:5" x14ac:dyDescent="0.2">
      <c r="D5032" s="148"/>
      <c r="E5032" s="154"/>
    </row>
    <row r="5033" spans="4:5" x14ac:dyDescent="0.2">
      <c r="D5033" s="148"/>
      <c r="E5033" s="154"/>
    </row>
    <row r="5034" spans="4:5" x14ac:dyDescent="0.2">
      <c r="D5034" s="148"/>
      <c r="E5034" s="154"/>
    </row>
    <row r="5035" spans="4:5" x14ac:dyDescent="0.2">
      <c r="D5035" s="148"/>
      <c r="E5035" s="154"/>
    </row>
    <row r="5036" spans="4:5" x14ac:dyDescent="0.2">
      <c r="D5036" s="148"/>
      <c r="E5036" s="154"/>
    </row>
    <row r="5037" spans="4:5" x14ac:dyDescent="0.2">
      <c r="D5037" s="148"/>
      <c r="E5037" s="154"/>
    </row>
    <row r="5038" spans="4:5" x14ac:dyDescent="0.2">
      <c r="D5038" s="148"/>
      <c r="E5038" s="154"/>
    </row>
    <row r="5039" spans="4:5" x14ac:dyDescent="0.2">
      <c r="D5039" s="148"/>
      <c r="E5039" s="154"/>
    </row>
    <row r="5040" spans="4:5" x14ac:dyDescent="0.2">
      <c r="D5040" s="148"/>
      <c r="E5040" s="154"/>
    </row>
    <row r="5041" spans="4:5" x14ac:dyDescent="0.2">
      <c r="D5041" s="148"/>
      <c r="E5041" s="154"/>
    </row>
    <row r="5042" spans="4:5" x14ac:dyDescent="0.2">
      <c r="D5042" s="148"/>
      <c r="E5042" s="154"/>
    </row>
    <row r="5043" spans="4:5" x14ac:dyDescent="0.2">
      <c r="D5043" s="148"/>
      <c r="E5043" s="154"/>
    </row>
    <row r="5044" spans="4:5" x14ac:dyDescent="0.2">
      <c r="D5044" s="148"/>
      <c r="E5044" s="154"/>
    </row>
    <row r="5045" spans="4:5" x14ac:dyDescent="0.2">
      <c r="D5045" s="148"/>
      <c r="E5045" s="154"/>
    </row>
    <row r="5046" spans="4:5" x14ac:dyDescent="0.2">
      <c r="D5046" s="148"/>
      <c r="E5046" s="154"/>
    </row>
    <row r="5047" spans="4:5" x14ac:dyDescent="0.2">
      <c r="D5047" s="148"/>
      <c r="E5047" s="154"/>
    </row>
    <row r="5048" spans="4:5" x14ac:dyDescent="0.2">
      <c r="D5048" s="148"/>
      <c r="E5048" s="154"/>
    </row>
    <row r="5049" spans="4:5" x14ac:dyDescent="0.2">
      <c r="D5049" s="148"/>
      <c r="E5049" s="154"/>
    </row>
    <row r="5050" spans="4:5" x14ac:dyDescent="0.2">
      <c r="D5050" s="148"/>
      <c r="E5050" s="154"/>
    </row>
    <row r="5051" spans="4:5" x14ac:dyDescent="0.2">
      <c r="D5051" s="148"/>
      <c r="E5051" s="154"/>
    </row>
    <row r="5052" spans="4:5" x14ac:dyDescent="0.2">
      <c r="D5052" s="148"/>
      <c r="E5052" s="154"/>
    </row>
    <row r="5053" spans="4:5" x14ac:dyDescent="0.2">
      <c r="D5053" s="148"/>
      <c r="E5053" s="154"/>
    </row>
    <row r="5054" spans="4:5" x14ac:dyDescent="0.2">
      <c r="D5054" s="148"/>
      <c r="E5054" s="154"/>
    </row>
    <row r="5055" spans="4:5" x14ac:dyDescent="0.2">
      <c r="D5055" s="148"/>
      <c r="E5055" s="154"/>
    </row>
    <row r="5056" spans="4:5" x14ac:dyDescent="0.2">
      <c r="D5056" s="148"/>
      <c r="E5056" s="154"/>
    </row>
    <row r="5057" spans="4:5" x14ac:dyDescent="0.2">
      <c r="D5057" s="148"/>
      <c r="E5057" s="154"/>
    </row>
    <row r="5058" spans="4:5" x14ac:dyDescent="0.2">
      <c r="D5058" s="148"/>
      <c r="E5058" s="154"/>
    </row>
    <row r="5059" spans="4:5" x14ac:dyDescent="0.2">
      <c r="D5059" s="148"/>
      <c r="E5059" s="154"/>
    </row>
    <row r="5060" spans="4:5" x14ac:dyDescent="0.2">
      <c r="D5060" s="148"/>
      <c r="E5060" s="154"/>
    </row>
    <row r="5061" spans="4:5" x14ac:dyDescent="0.2">
      <c r="D5061" s="148"/>
      <c r="E5061" s="154"/>
    </row>
    <row r="5062" spans="4:5" x14ac:dyDescent="0.2">
      <c r="D5062" s="148"/>
      <c r="E5062" s="154"/>
    </row>
    <row r="5063" spans="4:5" x14ac:dyDescent="0.2">
      <c r="D5063" s="148"/>
      <c r="E5063" s="154"/>
    </row>
    <row r="5064" spans="4:5" x14ac:dyDescent="0.2">
      <c r="D5064" s="148"/>
      <c r="E5064" s="154"/>
    </row>
    <row r="5065" spans="4:5" x14ac:dyDescent="0.2">
      <c r="D5065" s="148"/>
      <c r="E5065" s="154"/>
    </row>
    <row r="5066" spans="4:5" x14ac:dyDescent="0.2">
      <c r="D5066" s="148"/>
      <c r="E5066" s="154"/>
    </row>
    <row r="5067" spans="4:5" x14ac:dyDescent="0.2">
      <c r="D5067" s="148"/>
      <c r="E5067" s="154"/>
    </row>
    <row r="5068" spans="4:5" x14ac:dyDescent="0.2">
      <c r="D5068" s="148"/>
      <c r="E5068" s="154"/>
    </row>
    <row r="5069" spans="4:5" x14ac:dyDescent="0.2">
      <c r="D5069" s="148"/>
      <c r="E5069" s="154"/>
    </row>
    <row r="5070" spans="4:5" x14ac:dyDescent="0.2">
      <c r="D5070" s="148"/>
      <c r="E5070" s="154"/>
    </row>
    <row r="5071" spans="4:5" x14ac:dyDescent="0.2">
      <c r="D5071" s="148"/>
      <c r="E5071" s="154"/>
    </row>
    <row r="5072" spans="4:5" x14ac:dyDescent="0.2">
      <c r="D5072" s="148"/>
      <c r="E5072" s="154"/>
    </row>
    <row r="5073" spans="4:5" x14ac:dyDescent="0.2">
      <c r="D5073" s="148"/>
      <c r="E5073" s="154"/>
    </row>
    <row r="5074" spans="4:5" x14ac:dyDescent="0.2">
      <c r="D5074" s="148"/>
      <c r="E5074" s="154"/>
    </row>
    <row r="5075" spans="4:5" x14ac:dyDescent="0.2">
      <c r="D5075" s="148"/>
      <c r="E5075" s="154"/>
    </row>
    <row r="5076" spans="4:5" x14ac:dyDescent="0.2">
      <c r="D5076" s="148"/>
      <c r="E5076" s="154"/>
    </row>
    <row r="5077" spans="4:5" x14ac:dyDescent="0.2">
      <c r="D5077" s="148"/>
      <c r="E5077" s="154"/>
    </row>
    <row r="5078" spans="4:5" x14ac:dyDescent="0.2">
      <c r="D5078" s="148"/>
      <c r="E5078" s="154"/>
    </row>
    <row r="5079" spans="4:5" x14ac:dyDescent="0.2">
      <c r="D5079" s="148"/>
      <c r="E5079" s="154"/>
    </row>
    <row r="5080" spans="4:5" x14ac:dyDescent="0.2">
      <c r="D5080" s="148"/>
      <c r="E5080" s="154"/>
    </row>
    <row r="5081" spans="4:5" x14ac:dyDescent="0.2">
      <c r="D5081" s="148"/>
      <c r="E5081" s="154"/>
    </row>
    <row r="5082" spans="4:5" x14ac:dyDescent="0.2">
      <c r="D5082" s="148"/>
      <c r="E5082" s="154"/>
    </row>
    <row r="5083" spans="4:5" x14ac:dyDescent="0.2">
      <c r="D5083" s="148"/>
      <c r="E5083" s="154"/>
    </row>
    <row r="5084" spans="4:5" x14ac:dyDescent="0.2">
      <c r="D5084" s="148"/>
      <c r="E5084" s="154"/>
    </row>
    <row r="5085" spans="4:5" x14ac:dyDescent="0.2">
      <c r="D5085" s="148"/>
      <c r="E5085" s="154"/>
    </row>
    <row r="5086" spans="4:5" x14ac:dyDescent="0.2">
      <c r="D5086" s="148"/>
      <c r="E5086" s="154"/>
    </row>
    <row r="5087" spans="4:5" x14ac:dyDescent="0.2">
      <c r="D5087" s="148"/>
      <c r="E5087" s="154"/>
    </row>
    <row r="5088" spans="4:5" x14ac:dyDescent="0.2">
      <c r="D5088" s="148"/>
      <c r="E5088" s="154"/>
    </row>
    <row r="5089" spans="4:5" x14ac:dyDescent="0.2">
      <c r="D5089" s="148"/>
      <c r="E5089" s="154"/>
    </row>
    <row r="5090" spans="4:5" x14ac:dyDescent="0.2">
      <c r="D5090" s="148"/>
      <c r="E5090" s="154"/>
    </row>
    <row r="5091" spans="4:5" x14ac:dyDescent="0.2">
      <c r="D5091" s="148"/>
      <c r="E5091" s="154"/>
    </row>
    <row r="5092" spans="4:5" x14ac:dyDescent="0.2">
      <c r="D5092" s="148"/>
      <c r="E5092" s="154"/>
    </row>
    <row r="5093" spans="4:5" x14ac:dyDescent="0.2">
      <c r="D5093" s="148"/>
      <c r="E5093" s="154"/>
    </row>
    <row r="5094" spans="4:5" x14ac:dyDescent="0.2">
      <c r="D5094" s="148"/>
      <c r="E5094" s="154"/>
    </row>
    <row r="5095" spans="4:5" x14ac:dyDescent="0.2">
      <c r="D5095" s="148"/>
      <c r="E5095" s="154"/>
    </row>
    <row r="5096" spans="4:5" x14ac:dyDescent="0.2">
      <c r="D5096" s="148"/>
      <c r="E5096" s="154"/>
    </row>
    <row r="5097" spans="4:5" x14ac:dyDescent="0.2">
      <c r="D5097" s="148"/>
      <c r="E5097" s="154"/>
    </row>
    <row r="5098" spans="4:5" x14ac:dyDescent="0.2">
      <c r="D5098" s="148"/>
      <c r="E5098" s="154"/>
    </row>
    <row r="5099" spans="4:5" x14ac:dyDescent="0.2">
      <c r="D5099" s="148"/>
      <c r="E5099" s="154"/>
    </row>
    <row r="5100" spans="4:5" x14ac:dyDescent="0.2">
      <c r="D5100" s="148"/>
      <c r="E5100" s="154"/>
    </row>
    <row r="5101" spans="4:5" x14ac:dyDescent="0.2">
      <c r="D5101" s="148"/>
      <c r="E5101" s="154"/>
    </row>
    <row r="5102" spans="4:5" x14ac:dyDescent="0.2">
      <c r="D5102" s="148"/>
      <c r="E5102" s="154"/>
    </row>
    <row r="5103" spans="4:5" x14ac:dyDescent="0.2">
      <c r="D5103" s="148"/>
      <c r="E5103" s="154"/>
    </row>
    <row r="5104" spans="4:5" x14ac:dyDescent="0.2">
      <c r="D5104" s="148"/>
      <c r="E5104" s="154"/>
    </row>
    <row r="5105" spans="4:5" x14ac:dyDescent="0.2">
      <c r="D5105" s="148"/>
      <c r="E5105" s="154"/>
    </row>
    <row r="5106" spans="4:5" x14ac:dyDescent="0.2">
      <c r="D5106" s="148"/>
      <c r="E5106" s="154"/>
    </row>
    <row r="5107" spans="4:5" x14ac:dyDescent="0.2">
      <c r="D5107" s="148"/>
      <c r="E5107" s="154"/>
    </row>
    <row r="5108" spans="4:5" x14ac:dyDescent="0.2">
      <c r="D5108" s="148"/>
      <c r="E5108" s="154"/>
    </row>
    <row r="5109" spans="4:5" x14ac:dyDescent="0.2">
      <c r="D5109" s="148"/>
      <c r="E5109" s="154"/>
    </row>
    <row r="5110" spans="4:5" x14ac:dyDescent="0.2">
      <c r="D5110" s="148"/>
      <c r="E5110" s="154"/>
    </row>
    <row r="5111" spans="4:5" x14ac:dyDescent="0.2">
      <c r="D5111" s="148"/>
      <c r="E5111" s="154"/>
    </row>
    <row r="5112" spans="4:5" x14ac:dyDescent="0.2">
      <c r="D5112" s="148"/>
      <c r="E5112" s="154"/>
    </row>
    <row r="5113" spans="4:5" x14ac:dyDescent="0.2">
      <c r="D5113" s="148"/>
      <c r="E5113" s="154"/>
    </row>
    <row r="5114" spans="4:5" x14ac:dyDescent="0.2">
      <c r="D5114" s="148"/>
      <c r="E5114" s="154"/>
    </row>
    <row r="5115" spans="4:5" x14ac:dyDescent="0.2">
      <c r="D5115" s="148"/>
      <c r="E5115" s="154"/>
    </row>
    <row r="5116" spans="4:5" x14ac:dyDescent="0.2">
      <c r="D5116" s="148"/>
      <c r="E5116" s="154"/>
    </row>
    <row r="5117" spans="4:5" x14ac:dyDescent="0.2">
      <c r="D5117" s="148"/>
      <c r="E5117" s="154"/>
    </row>
    <row r="5118" spans="4:5" x14ac:dyDescent="0.2">
      <c r="D5118" s="148"/>
      <c r="E5118" s="154"/>
    </row>
    <row r="5119" spans="4:5" x14ac:dyDescent="0.2">
      <c r="D5119" s="148"/>
      <c r="E5119" s="154"/>
    </row>
    <row r="5120" spans="4:5" x14ac:dyDescent="0.2">
      <c r="D5120" s="148"/>
      <c r="E5120" s="154"/>
    </row>
    <row r="5121" spans="4:5" x14ac:dyDescent="0.2">
      <c r="D5121" s="148"/>
      <c r="E5121" s="154"/>
    </row>
    <row r="5122" spans="4:5" x14ac:dyDescent="0.2">
      <c r="D5122" s="148"/>
      <c r="E5122" s="154"/>
    </row>
    <row r="5123" spans="4:5" x14ac:dyDescent="0.2">
      <c r="D5123" s="148"/>
      <c r="E5123" s="154"/>
    </row>
    <row r="5124" spans="4:5" x14ac:dyDescent="0.2">
      <c r="D5124" s="148"/>
      <c r="E5124" s="154"/>
    </row>
    <row r="5125" spans="4:5" x14ac:dyDescent="0.2">
      <c r="D5125" s="148"/>
      <c r="E5125" s="154"/>
    </row>
    <row r="5126" spans="4:5" x14ac:dyDescent="0.2">
      <c r="D5126" s="148"/>
      <c r="E5126" s="154"/>
    </row>
    <row r="5127" spans="4:5" x14ac:dyDescent="0.2">
      <c r="D5127" s="148"/>
      <c r="E5127" s="154"/>
    </row>
    <row r="5128" spans="4:5" x14ac:dyDescent="0.2">
      <c r="D5128" s="148"/>
      <c r="E5128" s="154"/>
    </row>
    <row r="5129" spans="4:5" x14ac:dyDescent="0.2">
      <c r="D5129" s="148"/>
      <c r="E5129" s="154"/>
    </row>
    <row r="5130" spans="4:5" x14ac:dyDescent="0.2">
      <c r="D5130" s="148"/>
      <c r="E5130" s="154"/>
    </row>
    <row r="5131" spans="4:5" x14ac:dyDescent="0.2">
      <c r="D5131" s="148"/>
      <c r="E5131" s="154"/>
    </row>
    <row r="5132" spans="4:5" x14ac:dyDescent="0.2">
      <c r="D5132" s="148"/>
      <c r="E5132" s="154"/>
    </row>
    <row r="5133" spans="4:5" x14ac:dyDescent="0.2">
      <c r="D5133" s="148"/>
      <c r="E5133" s="154"/>
    </row>
    <row r="5134" spans="4:5" x14ac:dyDescent="0.2">
      <c r="D5134" s="148"/>
      <c r="E5134" s="154"/>
    </row>
    <row r="5135" spans="4:5" x14ac:dyDescent="0.2">
      <c r="D5135" s="148"/>
      <c r="E5135" s="154"/>
    </row>
    <row r="5136" spans="4:5" x14ac:dyDescent="0.2">
      <c r="D5136" s="148"/>
      <c r="E5136" s="154"/>
    </row>
    <row r="5137" spans="4:5" x14ac:dyDescent="0.2">
      <c r="D5137" s="148"/>
      <c r="E5137" s="154"/>
    </row>
    <row r="5138" spans="4:5" x14ac:dyDescent="0.2">
      <c r="D5138" s="148"/>
      <c r="E5138" s="154"/>
    </row>
    <row r="5139" spans="4:5" x14ac:dyDescent="0.2">
      <c r="D5139" s="148"/>
      <c r="E5139" s="154"/>
    </row>
    <row r="5140" spans="4:5" x14ac:dyDescent="0.2">
      <c r="D5140" s="148"/>
      <c r="E5140" s="154"/>
    </row>
    <row r="5141" spans="4:5" x14ac:dyDescent="0.2">
      <c r="D5141" s="148"/>
      <c r="E5141" s="154"/>
    </row>
    <row r="5142" spans="4:5" x14ac:dyDescent="0.2">
      <c r="D5142" s="148"/>
      <c r="E5142" s="154"/>
    </row>
    <row r="5143" spans="4:5" x14ac:dyDescent="0.2">
      <c r="D5143" s="148"/>
      <c r="E5143" s="154"/>
    </row>
    <row r="5144" spans="4:5" x14ac:dyDescent="0.2">
      <c r="D5144" s="148"/>
      <c r="E5144" s="154"/>
    </row>
    <row r="5145" spans="4:5" x14ac:dyDescent="0.2">
      <c r="D5145" s="148"/>
      <c r="E5145" s="154"/>
    </row>
    <row r="5146" spans="4:5" x14ac:dyDescent="0.2">
      <c r="D5146" s="148"/>
      <c r="E5146" s="154"/>
    </row>
    <row r="5147" spans="4:5" x14ac:dyDescent="0.2">
      <c r="D5147" s="148"/>
      <c r="E5147" s="154"/>
    </row>
    <row r="5148" spans="4:5" x14ac:dyDescent="0.2">
      <c r="D5148" s="148"/>
      <c r="E5148" s="154"/>
    </row>
    <row r="5149" spans="4:5" x14ac:dyDescent="0.2">
      <c r="D5149" s="148"/>
      <c r="E5149" s="154"/>
    </row>
    <row r="5150" spans="4:5" x14ac:dyDescent="0.2">
      <c r="D5150" s="148"/>
      <c r="E5150" s="154"/>
    </row>
    <row r="5151" spans="4:5" x14ac:dyDescent="0.2">
      <c r="D5151" s="148"/>
      <c r="E5151" s="154"/>
    </row>
    <row r="5152" spans="4:5" x14ac:dyDescent="0.2">
      <c r="D5152" s="148"/>
      <c r="E5152" s="154"/>
    </row>
    <row r="5153" spans="4:5" x14ac:dyDescent="0.2">
      <c r="D5153" s="148"/>
      <c r="E5153" s="154"/>
    </row>
    <row r="5154" spans="4:5" x14ac:dyDescent="0.2">
      <c r="D5154" s="148"/>
      <c r="E5154" s="154"/>
    </row>
    <row r="5155" spans="4:5" x14ac:dyDescent="0.2">
      <c r="D5155" s="148"/>
      <c r="E5155" s="154"/>
    </row>
    <row r="5156" spans="4:5" x14ac:dyDescent="0.2">
      <c r="D5156" s="148"/>
      <c r="E5156" s="154"/>
    </row>
    <row r="5157" spans="4:5" x14ac:dyDescent="0.2">
      <c r="D5157" s="148"/>
      <c r="E5157" s="154"/>
    </row>
    <row r="5158" spans="4:5" x14ac:dyDescent="0.2">
      <c r="D5158" s="148"/>
      <c r="E5158" s="154"/>
    </row>
    <row r="5159" spans="4:5" x14ac:dyDescent="0.2">
      <c r="D5159" s="148"/>
      <c r="E5159" s="154"/>
    </row>
    <row r="5160" spans="4:5" x14ac:dyDescent="0.2">
      <c r="D5160" s="148"/>
      <c r="E5160" s="154"/>
    </row>
    <row r="5161" spans="4:5" x14ac:dyDescent="0.2">
      <c r="D5161" s="148"/>
      <c r="E5161" s="154"/>
    </row>
    <row r="5162" spans="4:5" x14ac:dyDescent="0.2">
      <c r="D5162" s="148"/>
      <c r="E5162" s="154"/>
    </row>
    <row r="5163" spans="4:5" x14ac:dyDescent="0.2">
      <c r="D5163" s="148"/>
      <c r="E5163" s="154"/>
    </row>
    <row r="5164" spans="4:5" x14ac:dyDescent="0.2">
      <c r="D5164" s="148"/>
      <c r="E5164" s="154"/>
    </row>
    <row r="5165" spans="4:5" x14ac:dyDescent="0.2">
      <c r="D5165" s="148"/>
      <c r="E5165" s="154"/>
    </row>
    <row r="5166" spans="4:5" x14ac:dyDescent="0.2">
      <c r="D5166" s="148"/>
      <c r="E5166" s="154"/>
    </row>
    <row r="5167" spans="4:5" x14ac:dyDescent="0.2">
      <c r="D5167" s="148"/>
      <c r="E5167" s="154"/>
    </row>
    <row r="5168" spans="4:5" x14ac:dyDescent="0.2">
      <c r="D5168" s="148"/>
      <c r="E5168" s="154"/>
    </row>
    <row r="5169" spans="4:5" x14ac:dyDescent="0.2">
      <c r="D5169" s="148"/>
      <c r="E5169" s="154"/>
    </row>
    <row r="5170" spans="4:5" x14ac:dyDescent="0.2">
      <c r="D5170" s="148"/>
      <c r="E5170" s="154"/>
    </row>
    <row r="5171" spans="4:5" x14ac:dyDescent="0.2">
      <c r="D5171" s="148"/>
      <c r="E5171" s="154"/>
    </row>
    <row r="5172" spans="4:5" x14ac:dyDescent="0.2">
      <c r="D5172" s="148"/>
      <c r="E5172" s="154"/>
    </row>
    <row r="5173" spans="4:5" x14ac:dyDescent="0.2">
      <c r="D5173" s="148"/>
      <c r="E5173" s="154"/>
    </row>
    <row r="5174" spans="4:5" x14ac:dyDescent="0.2">
      <c r="D5174" s="148"/>
      <c r="E5174" s="154"/>
    </row>
    <row r="5175" spans="4:5" x14ac:dyDescent="0.2">
      <c r="D5175" s="148"/>
      <c r="E5175" s="154"/>
    </row>
    <row r="5176" spans="4:5" x14ac:dyDescent="0.2">
      <c r="D5176" s="148"/>
      <c r="E5176" s="154"/>
    </row>
    <row r="5177" spans="4:5" x14ac:dyDescent="0.2">
      <c r="D5177" s="148"/>
      <c r="E5177" s="154"/>
    </row>
    <row r="5178" spans="4:5" x14ac:dyDescent="0.2">
      <c r="D5178" s="148"/>
      <c r="E5178" s="154"/>
    </row>
    <row r="5179" spans="4:5" x14ac:dyDescent="0.2">
      <c r="D5179" s="148"/>
      <c r="E5179" s="154"/>
    </row>
    <row r="5180" spans="4:5" x14ac:dyDescent="0.2">
      <c r="D5180" s="148"/>
      <c r="E5180" s="154"/>
    </row>
    <row r="5181" spans="4:5" x14ac:dyDescent="0.2">
      <c r="D5181" s="148"/>
      <c r="E5181" s="154"/>
    </row>
    <row r="5182" spans="4:5" x14ac:dyDescent="0.2">
      <c r="D5182" s="148"/>
      <c r="E5182" s="154"/>
    </row>
    <row r="5183" spans="4:5" x14ac:dyDescent="0.2">
      <c r="D5183" s="148"/>
      <c r="E5183" s="154"/>
    </row>
    <row r="5184" spans="4:5" x14ac:dyDescent="0.2">
      <c r="D5184" s="148"/>
      <c r="E5184" s="154"/>
    </row>
    <row r="5185" spans="4:5" x14ac:dyDescent="0.2">
      <c r="D5185" s="148"/>
      <c r="E5185" s="154"/>
    </row>
    <row r="5186" spans="4:5" x14ac:dyDescent="0.2">
      <c r="D5186" s="148"/>
      <c r="E5186" s="154"/>
    </row>
    <row r="5187" spans="4:5" x14ac:dyDescent="0.2">
      <c r="D5187" s="148"/>
      <c r="E5187" s="154"/>
    </row>
    <row r="5188" spans="4:5" x14ac:dyDescent="0.2">
      <c r="D5188" s="148"/>
      <c r="E5188" s="154"/>
    </row>
    <row r="5189" spans="4:5" x14ac:dyDescent="0.2">
      <c r="D5189" s="148"/>
      <c r="E5189" s="154"/>
    </row>
    <row r="5190" spans="4:5" x14ac:dyDescent="0.2">
      <c r="D5190" s="148"/>
      <c r="E5190" s="154"/>
    </row>
    <row r="5191" spans="4:5" x14ac:dyDescent="0.2">
      <c r="D5191" s="148"/>
      <c r="E5191" s="154"/>
    </row>
    <row r="5192" spans="4:5" x14ac:dyDescent="0.2">
      <c r="D5192" s="148"/>
      <c r="E5192" s="154"/>
    </row>
    <row r="5193" spans="4:5" x14ac:dyDescent="0.2">
      <c r="D5193" s="148"/>
      <c r="E5193" s="154"/>
    </row>
    <row r="5194" spans="4:5" x14ac:dyDescent="0.2">
      <c r="D5194" s="148"/>
      <c r="E5194" s="154"/>
    </row>
    <row r="5195" spans="4:5" x14ac:dyDescent="0.2">
      <c r="D5195" s="148"/>
      <c r="E5195" s="154"/>
    </row>
    <row r="5196" spans="4:5" x14ac:dyDescent="0.2">
      <c r="D5196" s="148"/>
      <c r="E5196" s="154"/>
    </row>
    <row r="5197" spans="4:5" x14ac:dyDescent="0.2">
      <c r="D5197" s="148"/>
      <c r="E5197" s="154"/>
    </row>
    <row r="5198" spans="4:5" x14ac:dyDescent="0.2">
      <c r="D5198" s="148"/>
      <c r="E5198" s="154"/>
    </row>
    <row r="5199" spans="4:5" x14ac:dyDescent="0.2">
      <c r="D5199" s="148"/>
      <c r="E5199" s="154"/>
    </row>
    <row r="5200" spans="4:5" x14ac:dyDescent="0.2">
      <c r="D5200" s="148"/>
      <c r="E5200" s="154"/>
    </row>
    <row r="5201" spans="4:5" x14ac:dyDescent="0.2">
      <c r="D5201" s="148"/>
      <c r="E5201" s="154"/>
    </row>
    <row r="5202" spans="4:5" x14ac:dyDescent="0.2">
      <c r="D5202" s="148"/>
      <c r="E5202" s="154"/>
    </row>
    <row r="5203" spans="4:5" x14ac:dyDescent="0.2">
      <c r="D5203" s="148"/>
      <c r="E5203" s="154"/>
    </row>
    <row r="5204" spans="4:5" x14ac:dyDescent="0.2">
      <c r="D5204" s="148"/>
      <c r="E5204" s="154"/>
    </row>
    <row r="5205" spans="4:5" x14ac:dyDescent="0.2">
      <c r="D5205" s="148"/>
      <c r="E5205" s="154"/>
    </row>
    <row r="5206" spans="4:5" x14ac:dyDescent="0.2">
      <c r="D5206" s="148"/>
      <c r="E5206" s="154"/>
    </row>
    <row r="5207" spans="4:5" x14ac:dyDescent="0.2">
      <c r="D5207" s="148"/>
      <c r="E5207" s="154"/>
    </row>
    <row r="5208" spans="4:5" x14ac:dyDescent="0.2">
      <c r="D5208" s="148"/>
      <c r="E5208" s="154"/>
    </row>
    <row r="5209" spans="4:5" x14ac:dyDescent="0.2">
      <c r="D5209" s="148"/>
      <c r="E5209" s="154"/>
    </row>
    <row r="5210" spans="4:5" x14ac:dyDescent="0.2">
      <c r="D5210" s="148"/>
      <c r="E5210" s="154"/>
    </row>
    <row r="5211" spans="4:5" x14ac:dyDescent="0.2">
      <c r="D5211" s="148"/>
      <c r="E5211" s="154"/>
    </row>
    <row r="5212" spans="4:5" x14ac:dyDescent="0.2">
      <c r="D5212" s="148"/>
      <c r="E5212" s="154"/>
    </row>
    <row r="5213" spans="4:5" x14ac:dyDescent="0.2">
      <c r="D5213" s="148"/>
      <c r="E5213" s="154"/>
    </row>
    <row r="5214" spans="4:5" x14ac:dyDescent="0.2">
      <c r="D5214" s="148"/>
      <c r="E5214" s="154"/>
    </row>
    <row r="5215" spans="4:5" x14ac:dyDescent="0.2">
      <c r="D5215" s="148"/>
      <c r="E5215" s="154"/>
    </row>
    <row r="5216" spans="4:5" x14ac:dyDescent="0.2">
      <c r="D5216" s="148"/>
      <c r="E5216" s="154"/>
    </row>
    <row r="5217" spans="4:5" x14ac:dyDescent="0.2">
      <c r="D5217" s="148"/>
      <c r="E5217" s="154"/>
    </row>
    <row r="5218" spans="4:5" x14ac:dyDescent="0.2">
      <c r="D5218" s="148"/>
      <c r="E5218" s="154"/>
    </row>
    <row r="5219" spans="4:5" x14ac:dyDescent="0.2">
      <c r="D5219" s="148"/>
      <c r="E5219" s="154"/>
    </row>
    <row r="5220" spans="4:5" x14ac:dyDescent="0.2">
      <c r="D5220" s="148"/>
      <c r="E5220" s="154"/>
    </row>
    <row r="5221" spans="4:5" x14ac:dyDescent="0.2">
      <c r="D5221" s="148"/>
      <c r="E5221" s="154"/>
    </row>
    <row r="5222" spans="4:5" x14ac:dyDescent="0.2">
      <c r="D5222" s="148"/>
      <c r="E5222" s="154"/>
    </row>
    <row r="5223" spans="4:5" x14ac:dyDescent="0.2">
      <c r="D5223" s="148"/>
      <c r="E5223" s="154"/>
    </row>
    <row r="5224" spans="4:5" x14ac:dyDescent="0.2">
      <c r="D5224" s="148"/>
      <c r="E5224" s="154"/>
    </row>
    <row r="5225" spans="4:5" x14ac:dyDescent="0.2">
      <c r="D5225" s="148"/>
      <c r="E5225" s="154"/>
    </row>
    <row r="5226" spans="4:5" x14ac:dyDescent="0.2">
      <c r="D5226" s="148"/>
      <c r="E5226" s="154"/>
    </row>
    <row r="5227" spans="4:5" x14ac:dyDescent="0.2">
      <c r="D5227" s="148"/>
      <c r="E5227" s="154"/>
    </row>
    <row r="5228" spans="4:5" x14ac:dyDescent="0.2">
      <c r="D5228" s="148"/>
      <c r="E5228" s="154"/>
    </row>
    <row r="5229" spans="4:5" x14ac:dyDescent="0.2">
      <c r="D5229" s="148"/>
      <c r="E5229" s="154"/>
    </row>
    <row r="5230" spans="4:5" x14ac:dyDescent="0.2">
      <c r="D5230" s="148"/>
      <c r="E5230" s="154"/>
    </row>
    <row r="5231" spans="4:5" x14ac:dyDescent="0.2">
      <c r="D5231" s="148"/>
      <c r="E5231" s="154"/>
    </row>
    <row r="5232" spans="4:5" x14ac:dyDescent="0.2">
      <c r="D5232" s="148"/>
      <c r="E5232" s="154"/>
    </row>
    <row r="5233" spans="4:5" x14ac:dyDescent="0.2">
      <c r="D5233" s="148"/>
      <c r="E5233" s="154"/>
    </row>
    <row r="5234" spans="4:5" x14ac:dyDescent="0.2">
      <c r="D5234" s="148"/>
      <c r="E5234" s="154"/>
    </row>
    <row r="5235" spans="4:5" x14ac:dyDescent="0.2">
      <c r="D5235" s="148"/>
      <c r="E5235" s="154"/>
    </row>
    <row r="5236" spans="4:5" x14ac:dyDescent="0.2">
      <c r="D5236" s="148"/>
      <c r="E5236" s="154"/>
    </row>
    <row r="5237" spans="4:5" x14ac:dyDescent="0.2">
      <c r="D5237" s="148"/>
      <c r="E5237" s="154"/>
    </row>
    <row r="5238" spans="4:5" x14ac:dyDescent="0.2">
      <c r="D5238" s="148"/>
      <c r="E5238" s="154"/>
    </row>
    <row r="5239" spans="4:5" x14ac:dyDescent="0.2">
      <c r="D5239" s="148"/>
      <c r="E5239" s="154"/>
    </row>
    <row r="5240" spans="4:5" x14ac:dyDescent="0.2">
      <c r="D5240" s="148"/>
      <c r="E5240" s="154"/>
    </row>
    <row r="5241" spans="4:5" x14ac:dyDescent="0.2">
      <c r="D5241" s="148"/>
      <c r="E5241" s="154"/>
    </row>
    <row r="5242" spans="4:5" x14ac:dyDescent="0.2">
      <c r="D5242" s="148"/>
      <c r="E5242" s="154"/>
    </row>
    <row r="5243" spans="4:5" x14ac:dyDescent="0.2">
      <c r="D5243" s="148"/>
      <c r="E5243" s="154"/>
    </row>
    <row r="5244" spans="4:5" x14ac:dyDescent="0.2">
      <c r="D5244" s="148"/>
      <c r="E5244" s="154"/>
    </row>
    <row r="5245" spans="4:5" x14ac:dyDescent="0.2">
      <c r="D5245" s="148"/>
      <c r="E5245" s="154"/>
    </row>
    <row r="5246" spans="4:5" x14ac:dyDescent="0.2">
      <c r="D5246" s="148"/>
      <c r="E5246" s="154"/>
    </row>
    <row r="5247" spans="4:5" x14ac:dyDescent="0.2">
      <c r="D5247" s="148"/>
      <c r="E5247" s="154"/>
    </row>
    <row r="5248" spans="4:5" x14ac:dyDescent="0.2">
      <c r="D5248" s="148"/>
      <c r="E5248" s="154"/>
    </row>
    <row r="5249" spans="4:5" x14ac:dyDescent="0.2">
      <c r="D5249" s="148"/>
      <c r="E5249" s="154"/>
    </row>
    <row r="5250" spans="4:5" x14ac:dyDescent="0.2">
      <c r="D5250" s="148"/>
      <c r="E5250" s="154"/>
    </row>
    <row r="5251" spans="4:5" x14ac:dyDescent="0.2">
      <c r="D5251" s="148"/>
      <c r="E5251" s="154"/>
    </row>
    <row r="5252" spans="4:5" x14ac:dyDescent="0.2">
      <c r="D5252" s="148"/>
      <c r="E5252" s="154"/>
    </row>
    <row r="5253" spans="4:5" x14ac:dyDescent="0.2">
      <c r="D5253" s="148"/>
      <c r="E5253" s="154"/>
    </row>
    <row r="5254" spans="4:5" x14ac:dyDescent="0.2">
      <c r="D5254" s="148"/>
      <c r="E5254" s="154"/>
    </row>
    <row r="5255" spans="4:5" x14ac:dyDescent="0.2">
      <c r="D5255" s="148"/>
      <c r="E5255" s="154"/>
    </row>
    <row r="5256" spans="4:5" x14ac:dyDescent="0.2">
      <c r="D5256" s="148"/>
      <c r="E5256" s="154"/>
    </row>
    <row r="5257" spans="4:5" x14ac:dyDescent="0.2">
      <c r="D5257" s="148"/>
      <c r="E5257" s="154"/>
    </row>
    <row r="5258" spans="4:5" x14ac:dyDescent="0.2">
      <c r="D5258" s="148"/>
      <c r="E5258" s="154"/>
    </row>
    <row r="5259" spans="4:5" x14ac:dyDescent="0.2">
      <c r="D5259" s="148"/>
      <c r="E5259" s="154"/>
    </row>
    <row r="5260" spans="4:5" x14ac:dyDescent="0.2">
      <c r="D5260" s="148"/>
      <c r="E5260" s="154"/>
    </row>
    <row r="5261" spans="4:5" x14ac:dyDescent="0.2">
      <c r="D5261" s="148"/>
      <c r="E5261" s="154"/>
    </row>
    <row r="5262" spans="4:5" x14ac:dyDescent="0.2">
      <c r="D5262" s="148"/>
      <c r="E5262" s="154"/>
    </row>
    <row r="5263" spans="4:5" x14ac:dyDescent="0.2">
      <c r="D5263" s="148"/>
      <c r="E5263" s="154"/>
    </row>
    <row r="5264" spans="4:5" x14ac:dyDescent="0.2">
      <c r="D5264" s="148"/>
      <c r="E5264" s="154"/>
    </row>
    <row r="5265" spans="4:5" x14ac:dyDescent="0.2">
      <c r="D5265" s="148"/>
      <c r="E5265" s="154"/>
    </row>
    <row r="5266" spans="4:5" x14ac:dyDescent="0.2">
      <c r="D5266" s="148"/>
      <c r="E5266" s="154"/>
    </row>
    <row r="5267" spans="4:5" x14ac:dyDescent="0.2">
      <c r="D5267" s="148"/>
      <c r="E5267" s="154"/>
    </row>
    <row r="5268" spans="4:5" x14ac:dyDescent="0.2">
      <c r="D5268" s="148"/>
      <c r="E5268" s="154"/>
    </row>
    <row r="5269" spans="4:5" x14ac:dyDescent="0.2">
      <c r="D5269" s="148"/>
      <c r="E5269" s="154"/>
    </row>
    <row r="5270" spans="4:5" x14ac:dyDescent="0.2">
      <c r="D5270" s="148"/>
      <c r="E5270" s="154"/>
    </row>
    <row r="5271" spans="4:5" x14ac:dyDescent="0.2">
      <c r="D5271" s="148"/>
      <c r="E5271" s="154"/>
    </row>
    <row r="5272" spans="4:5" x14ac:dyDescent="0.2">
      <c r="D5272" s="148"/>
      <c r="E5272" s="154"/>
    </row>
    <row r="5273" spans="4:5" x14ac:dyDescent="0.2">
      <c r="D5273" s="148"/>
      <c r="E5273" s="154"/>
    </row>
    <row r="5274" spans="4:5" x14ac:dyDescent="0.2">
      <c r="D5274" s="148"/>
      <c r="E5274" s="154"/>
    </row>
    <row r="5275" spans="4:5" x14ac:dyDescent="0.2">
      <c r="D5275" s="148"/>
      <c r="E5275" s="154"/>
    </row>
    <row r="5276" spans="4:5" x14ac:dyDescent="0.2">
      <c r="D5276" s="148"/>
      <c r="E5276" s="154"/>
    </row>
    <row r="5277" spans="4:5" x14ac:dyDescent="0.2">
      <c r="D5277" s="148"/>
      <c r="E5277" s="154"/>
    </row>
    <row r="5278" spans="4:5" x14ac:dyDescent="0.2">
      <c r="D5278" s="148"/>
      <c r="E5278" s="154"/>
    </row>
    <row r="5279" spans="4:5" x14ac:dyDescent="0.2">
      <c r="D5279" s="148"/>
      <c r="E5279" s="154"/>
    </row>
    <row r="5280" spans="4:5" x14ac:dyDescent="0.2">
      <c r="D5280" s="148"/>
      <c r="E5280" s="154"/>
    </row>
    <row r="5281" spans="4:5" x14ac:dyDescent="0.2">
      <c r="D5281" s="148"/>
      <c r="E5281" s="154"/>
    </row>
    <row r="5282" spans="4:5" x14ac:dyDescent="0.2">
      <c r="D5282" s="148"/>
      <c r="E5282" s="154"/>
    </row>
    <row r="5283" spans="4:5" x14ac:dyDescent="0.2">
      <c r="D5283" s="148"/>
      <c r="E5283" s="154"/>
    </row>
    <row r="5284" spans="4:5" x14ac:dyDescent="0.2">
      <c r="D5284" s="148"/>
      <c r="E5284" s="154"/>
    </row>
    <row r="5285" spans="4:5" x14ac:dyDescent="0.2">
      <c r="D5285" s="148"/>
      <c r="E5285" s="154"/>
    </row>
    <row r="5286" spans="4:5" x14ac:dyDescent="0.2">
      <c r="D5286" s="148"/>
      <c r="E5286" s="154"/>
    </row>
    <row r="5287" spans="4:5" x14ac:dyDescent="0.2">
      <c r="D5287" s="148"/>
      <c r="E5287" s="154"/>
    </row>
    <row r="5288" spans="4:5" x14ac:dyDescent="0.2">
      <c r="D5288" s="148"/>
      <c r="E5288" s="154"/>
    </row>
    <row r="5289" spans="4:5" x14ac:dyDescent="0.2">
      <c r="D5289" s="148"/>
      <c r="E5289" s="154"/>
    </row>
    <row r="5290" spans="4:5" x14ac:dyDescent="0.2">
      <c r="D5290" s="148"/>
      <c r="E5290" s="154"/>
    </row>
    <row r="5291" spans="4:5" x14ac:dyDescent="0.2">
      <c r="D5291" s="148"/>
      <c r="E5291" s="154"/>
    </row>
    <row r="5292" spans="4:5" x14ac:dyDescent="0.2">
      <c r="D5292" s="148"/>
      <c r="E5292" s="154"/>
    </row>
    <row r="5293" spans="4:5" x14ac:dyDescent="0.2">
      <c r="D5293" s="148"/>
      <c r="E5293" s="154"/>
    </row>
    <row r="5294" spans="4:5" x14ac:dyDescent="0.2">
      <c r="D5294" s="148"/>
      <c r="E5294" s="154"/>
    </row>
    <row r="5295" spans="4:5" x14ac:dyDescent="0.2">
      <c r="D5295" s="148"/>
      <c r="E5295" s="154"/>
    </row>
    <row r="5296" spans="4:5" x14ac:dyDescent="0.2">
      <c r="D5296" s="148"/>
      <c r="E5296" s="154"/>
    </row>
    <row r="5297" spans="4:5" x14ac:dyDescent="0.2">
      <c r="D5297" s="148"/>
      <c r="E5297" s="154"/>
    </row>
    <row r="5298" spans="4:5" x14ac:dyDescent="0.2">
      <c r="D5298" s="148"/>
      <c r="E5298" s="154"/>
    </row>
    <row r="5299" spans="4:5" x14ac:dyDescent="0.2">
      <c r="D5299" s="148"/>
      <c r="E5299" s="154"/>
    </row>
    <row r="5300" spans="4:5" x14ac:dyDescent="0.2">
      <c r="D5300" s="148"/>
      <c r="E5300" s="154"/>
    </row>
    <row r="5301" spans="4:5" x14ac:dyDescent="0.2">
      <c r="D5301" s="148"/>
      <c r="E5301" s="154"/>
    </row>
    <row r="5302" spans="4:5" x14ac:dyDescent="0.2">
      <c r="D5302" s="148"/>
      <c r="E5302" s="154"/>
    </row>
    <row r="5303" spans="4:5" x14ac:dyDescent="0.2">
      <c r="D5303" s="148"/>
      <c r="E5303" s="154"/>
    </row>
    <row r="5304" spans="4:5" x14ac:dyDescent="0.2">
      <c r="D5304" s="148"/>
      <c r="E5304" s="154"/>
    </row>
    <row r="5305" spans="4:5" x14ac:dyDescent="0.2">
      <c r="D5305" s="148"/>
      <c r="E5305" s="154"/>
    </row>
    <row r="5306" spans="4:5" x14ac:dyDescent="0.2">
      <c r="D5306" s="148"/>
      <c r="E5306" s="154"/>
    </row>
    <row r="5307" spans="4:5" x14ac:dyDescent="0.2">
      <c r="D5307" s="148"/>
      <c r="E5307" s="154"/>
    </row>
    <row r="5308" spans="4:5" x14ac:dyDescent="0.2">
      <c r="D5308" s="148"/>
      <c r="E5308" s="154"/>
    </row>
    <row r="5309" spans="4:5" x14ac:dyDescent="0.2">
      <c r="D5309" s="148"/>
      <c r="E5309" s="154"/>
    </row>
    <row r="5310" spans="4:5" x14ac:dyDescent="0.2">
      <c r="D5310" s="148"/>
      <c r="E5310" s="154"/>
    </row>
    <row r="5311" spans="4:5" x14ac:dyDescent="0.2">
      <c r="D5311" s="148"/>
      <c r="E5311" s="154"/>
    </row>
    <row r="5312" spans="4:5" x14ac:dyDescent="0.2">
      <c r="D5312" s="148"/>
      <c r="E5312" s="154"/>
    </row>
    <row r="5313" spans="4:5" x14ac:dyDescent="0.2">
      <c r="D5313" s="148"/>
      <c r="E5313" s="154"/>
    </row>
    <row r="5314" spans="4:5" x14ac:dyDescent="0.2">
      <c r="D5314" s="148"/>
      <c r="E5314" s="154"/>
    </row>
    <row r="5315" spans="4:5" x14ac:dyDescent="0.2">
      <c r="D5315" s="148"/>
      <c r="E5315" s="154"/>
    </row>
    <row r="5316" spans="4:5" x14ac:dyDescent="0.2">
      <c r="D5316" s="148"/>
      <c r="E5316" s="154"/>
    </row>
    <row r="5317" spans="4:5" x14ac:dyDescent="0.2">
      <c r="D5317" s="148"/>
      <c r="E5317" s="154"/>
    </row>
    <row r="5318" spans="4:5" x14ac:dyDescent="0.2">
      <c r="D5318" s="148"/>
      <c r="E5318" s="154"/>
    </row>
    <row r="5319" spans="4:5" x14ac:dyDescent="0.2">
      <c r="D5319" s="148"/>
      <c r="E5319" s="154"/>
    </row>
    <row r="5320" spans="4:5" x14ac:dyDescent="0.2">
      <c r="D5320" s="148"/>
      <c r="E5320" s="154"/>
    </row>
    <row r="5321" spans="4:5" x14ac:dyDescent="0.2">
      <c r="D5321" s="148"/>
      <c r="E5321" s="154"/>
    </row>
    <row r="5322" spans="4:5" x14ac:dyDescent="0.2">
      <c r="D5322" s="148"/>
      <c r="E5322" s="154"/>
    </row>
    <row r="5323" spans="4:5" x14ac:dyDescent="0.2">
      <c r="D5323" s="148"/>
      <c r="E5323" s="154"/>
    </row>
    <row r="5324" spans="4:5" x14ac:dyDescent="0.2">
      <c r="D5324" s="148"/>
      <c r="E5324" s="154"/>
    </row>
    <row r="5325" spans="4:5" x14ac:dyDescent="0.2">
      <c r="D5325" s="148"/>
      <c r="E5325" s="154"/>
    </row>
    <row r="5326" spans="4:5" x14ac:dyDescent="0.2">
      <c r="D5326" s="148"/>
      <c r="E5326" s="154"/>
    </row>
    <row r="5327" spans="4:5" x14ac:dyDescent="0.2">
      <c r="D5327" s="148"/>
      <c r="E5327" s="154"/>
    </row>
    <row r="5328" spans="4:5" x14ac:dyDescent="0.2">
      <c r="D5328" s="148"/>
      <c r="E5328" s="154"/>
    </row>
    <row r="5329" spans="4:5" x14ac:dyDescent="0.2">
      <c r="D5329" s="148"/>
      <c r="E5329" s="154"/>
    </row>
    <row r="5330" spans="4:5" x14ac:dyDescent="0.2">
      <c r="D5330" s="148"/>
      <c r="E5330" s="154"/>
    </row>
    <row r="5331" spans="4:5" x14ac:dyDescent="0.2">
      <c r="D5331" s="148"/>
      <c r="E5331" s="154"/>
    </row>
    <row r="5332" spans="4:5" x14ac:dyDescent="0.2">
      <c r="D5332" s="148"/>
      <c r="E5332" s="154"/>
    </row>
    <row r="5333" spans="4:5" x14ac:dyDescent="0.2">
      <c r="D5333" s="148"/>
      <c r="E5333" s="154"/>
    </row>
    <row r="5334" spans="4:5" x14ac:dyDescent="0.2">
      <c r="D5334" s="148"/>
      <c r="E5334" s="154"/>
    </row>
    <row r="5335" spans="4:5" x14ac:dyDescent="0.2">
      <c r="D5335" s="148"/>
      <c r="E5335" s="154"/>
    </row>
    <row r="5336" spans="4:5" x14ac:dyDescent="0.2">
      <c r="D5336" s="148"/>
      <c r="E5336" s="154"/>
    </row>
    <row r="5337" spans="4:5" x14ac:dyDescent="0.2">
      <c r="D5337" s="148"/>
      <c r="E5337" s="154"/>
    </row>
    <row r="5338" spans="4:5" x14ac:dyDescent="0.2">
      <c r="D5338" s="148"/>
      <c r="E5338" s="154"/>
    </row>
    <row r="5339" spans="4:5" x14ac:dyDescent="0.2">
      <c r="D5339" s="148"/>
      <c r="E5339" s="154"/>
    </row>
    <row r="5340" spans="4:5" x14ac:dyDescent="0.2">
      <c r="D5340" s="148"/>
      <c r="E5340" s="154"/>
    </row>
    <row r="5341" spans="4:5" x14ac:dyDescent="0.2">
      <c r="D5341" s="148"/>
      <c r="E5341" s="154"/>
    </row>
    <row r="5342" spans="4:5" x14ac:dyDescent="0.2">
      <c r="D5342" s="148"/>
      <c r="E5342" s="154"/>
    </row>
    <row r="5343" spans="4:5" x14ac:dyDescent="0.2">
      <c r="D5343" s="148"/>
      <c r="E5343" s="154"/>
    </row>
    <row r="5344" spans="4:5" x14ac:dyDescent="0.2">
      <c r="D5344" s="148"/>
      <c r="E5344" s="154"/>
    </row>
    <row r="5345" spans="4:5" x14ac:dyDescent="0.2">
      <c r="D5345" s="148"/>
      <c r="E5345" s="154"/>
    </row>
    <row r="5346" spans="4:5" x14ac:dyDescent="0.2">
      <c r="D5346" s="148"/>
      <c r="E5346" s="154"/>
    </row>
    <row r="5347" spans="4:5" x14ac:dyDescent="0.2">
      <c r="D5347" s="148"/>
      <c r="E5347" s="154"/>
    </row>
    <row r="5348" spans="4:5" x14ac:dyDescent="0.2">
      <c r="D5348" s="148"/>
      <c r="E5348" s="154"/>
    </row>
    <row r="5349" spans="4:5" x14ac:dyDescent="0.2">
      <c r="D5349" s="148"/>
      <c r="E5349" s="154"/>
    </row>
    <row r="5350" spans="4:5" x14ac:dyDescent="0.2">
      <c r="D5350" s="148"/>
      <c r="E5350" s="154"/>
    </row>
    <row r="5351" spans="4:5" x14ac:dyDescent="0.2">
      <c r="D5351" s="148"/>
      <c r="E5351" s="154"/>
    </row>
    <row r="5352" spans="4:5" x14ac:dyDescent="0.2">
      <c r="D5352" s="148"/>
      <c r="E5352" s="154"/>
    </row>
    <row r="5353" spans="4:5" x14ac:dyDescent="0.2">
      <c r="D5353" s="148"/>
      <c r="E5353" s="154"/>
    </row>
    <row r="5354" spans="4:5" x14ac:dyDescent="0.2">
      <c r="D5354" s="148"/>
      <c r="E5354" s="154"/>
    </row>
    <row r="5355" spans="4:5" x14ac:dyDescent="0.2">
      <c r="D5355" s="148"/>
      <c r="E5355" s="154"/>
    </row>
    <row r="5356" spans="4:5" x14ac:dyDescent="0.2">
      <c r="D5356" s="148"/>
      <c r="E5356" s="154"/>
    </row>
    <row r="5357" spans="4:5" x14ac:dyDescent="0.2">
      <c r="D5357" s="148"/>
      <c r="E5357" s="154"/>
    </row>
    <row r="5358" spans="4:5" x14ac:dyDescent="0.2">
      <c r="D5358" s="148"/>
      <c r="E5358" s="154"/>
    </row>
    <row r="5359" spans="4:5" x14ac:dyDescent="0.2">
      <c r="D5359" s="148"/>
      <c r="E5359" s="154"/>
    </row>
    <row r="5360" spans="4:5" x14ac:dyDescent="0.2">
      <c r="D5360" s="148"/>
      <c r="E5360" s="154"/>
    </row>
    <row r="5361" spans="4:5" x14ac:dyDescent="0.2">
      <c r="D5361" s="148"/>
      <c r="E5361" s="154"/>
    </row>
    <row r="5362" spans="4:5" x14ac:dyDescent="0.2">
      <c r="D5362" s="148"/>
      <c r="E5362" s="154"/>
    </row>
    <row r="5363" spans="4:5" x14ac:dyDescent="0.2">
      <c r="D5363" s="148"/>
      <c r="E5363" s="154"/>
    </row>
    <row r="5364" spans="4:5" x14ac:dyDescent="0.2">
      <c r="D5364" s="148"/>
      <c r="E5364" s="154"/>
    </row>
    <row r="5365" spans="4:5" x14ac:dyDescent="0.2">
      <c r="D5365" s="148"/>
      <c r="E5365" s="154"/>
    </row>
    <row r="5366" spans="4:5" x14ac:dyDescent="0.2">
      <c r="D5366" s="148"/>
      <c r="E5366" s="154"/>
    </row>
    <row r="5367" spans="4:5" x14ac:dyDescent="0.2">
      <c r="D5367" s="148"/>
      <c r="E5367" s="154"/>
    </row>
    <row r="5368" spans="4:5" x14ac:dyDescent="0.2">
      <c r="D5368" s="148"/>
      <c r="E5368" s="154"/>
    </row>
    <row r="5369" spans="4:5" x14ac:dyDescent="0.2">
      <c r="D5369" s="148"/>
      <c r="E5369" s="154"/>
    </row>
    <row r="5370" spans="4:5" x14ac:dyDescent="0.2">
      <c r="D5370" s="148"/>
      <c r="E5370" s="154"/>
    </row>
    <row r="5371" spans="4:5" x14ac:dyDescent="0.2">
      <c r="D5371" s="148"/>
      <c r="E5371" s="154"/>
    </row>
    <row r="5372" spans="4:5" x14ac:dyDescent="0.2">
      <c r="D5372" s="148"/>
      <c r="E5372" s="154"/>
    </row>
    <row r="5373" spans="4:5" x14ac:dyDescent="0.2">
      <c r="D5373" s="148"/>
      <c r="E5373" s="154"/>
    </row>
    <row r="5374" spans="4:5" x14ac:dyDescent="0.2">
      <c r="D5374" s="148"/>
      <c r="E5374" s="154"/>
    </row>
    <row r="5375" spans="4:5" x14ac:dyDescent="0.2">
      <c r="D5375" s="148"/>
      <c r="E5375" s="154"/>
    </row>
    <row r="5376" spans="4:5" x14ac:dyDescent="0.2">
      <c r="D5376" s="148"/>
      <c r="E5376" s="154"/>
    </row>
    <row r="5377" spans="4:5" x14ac:dyDescent="0.2">
      <c r="D5377" s="148"/>
      <c r="E5377" s="154"/>
    </row>
    <row r="5378" spans="4:5" x14ac:dyDescent="0.2">
      <c r="D5378" s="148"/>
      <c r="E5378" s="154"/>
    </row>
    <row r="5379" spans="4:5" x14ac:dyDescent="0.2">
      <c r="D5379" s="148"/>
      <c r="E5379" s="154"/>
    </row>
    <row r="5380" spans="4:5" x14ac:dyDescent="0.2">
      <c r="D5380" s="148"/>
      <c r="E5380" s="154"/>
    </row>
    <row r="5381" spans="4:5" x14ac:dyDescent="0.2">
      <c r="D5381" s="148"/>
      <c r="E5381" s="154"/>
    </row>
    <row r="5382" spans="4:5" x14ac:dyDescent="0.2">
      <c r="D5382" s="148"/>
      <c r="E5382" s="154"/>
    </row>
    <row r="5383" spans="4:5" x14ac:dyDescent="0.2">
      <c r="D5383" s="148"/>
      <c r="E5383" s="154"/>
    </row>
    <row r="5384" spans="4:5" x14ac:dyDescent="0.2">
      <c r="D5384" s="148"/>
      <c r="E5384" s="154"/>
    </row>
    <row r="5385" spans="4:5" x14ac:dyDescent="0.2">
      <c r="D5385" s="148"/>
      <c r="E5385" s="154"/>
    </row>
    <row r="5386" spans="4:5" x14ac:dyDescent="0.2">
      <c r="D5386" s="148"/>
      <c r="E5386" s="154"/>
    </row>
    <row r="5387" spans="4:5" x14ac:dyDescent="0.2">
      <c r="D5387" s="148"/>
      <c r="E5387" s="154"/>
    </row>
    <row r="5388" spans="4:5" x14ac:dyDescent="0.2">
      <c r="D5388" s="148"/>
      <c r="E5388" s="154"/>
    </row>
    <row r="5389" spans="4:5" x14ac:dyDescent="0.2">
      <c r="D5389" s="148"/>
      <c r="E5389" s="154"/>
    </row>
    <row r="5390" spans="4:5" x14ac:dyDescent="0.2">
      <c r="D5390" s="148"/>
      <c r="E5390" s="154"/>
    </row>
    <row r="5391" spans="4:5" x14ac:dyDescent="0.2">
      <c r="D5391" s="148"/>
      <c r="E5391" s="154"/>
    </row>
    <row r="5392" spans="4:5" x14ac:dyDescent="0.2">
      <c r="D5392" s="148"/>
      <c r="E5392" s="154"/>
    </row>
    <row r="5393" spans="4:5" x14ac:dyDescent="0.2">
      <c r="D5393" s="148"/>
      <c r="E5393" s="154"/>
    </row>
    <row r="5394" spans="4:5" x14ac:dyDescent="0.2">
      <c r="D5394" s="148"/>
      <c r="E5394" s="154"/>
    </row>
    <row r="5395" spans="4:5" x14ac:dyDescent="0.2">
      <c r="D5395" s="148"/>
      <c r="E5395" s="154"/>
    </row>
    <row r="5396" spans="4:5" x14ac:dyDescent="0.2">
      <c r="D5396" s="148"/>
      <c r="E5396" s="154"/>
    </row>
    <row r="5397" spans="4:5" x14ac:dyDescent="0.2">
      <c r="D5397" s="148"/>
      <c r="E5397" s="154"/>
    </row>
    <row r="5398" spans="4:5" x14ac:dyDescent="0.2">
      <c r="D5398" s="148"/>
      <c r="E5398" s="154"/>
    </row>
    <row r="5399" spans="4:5" x14ac:dyDescent="0.2">
      <c r="D5399" s="148"/>
      <c r="E5399" s="154"/>
    </row>
    <row r="5400" spans="4:5" x14ac:dyDescent="0.2">
      <c r="D5400" s="148"/>
      <c r="E5400" s="154"/>
    </row>
    <row r="5401" spans="4:5" x14ac:dyDescent="0.2">
      <c r="D5401" s="148"/>
      <c r="E5401" s="154"/>
    </row>
    <row r="5402" spans="4:5" x14ac:dyDescent="0.2">
      <c r="D5402" s="148"/>
      <c r="E5402" s="154"/>
    </row>
    <row r="5403" spans="4:5" x14ac:dyDescent="0.2">
      <c r="D5403" s="148"/>
      <c r="E5403" s="154"/>
    </row>
    <row r="5404" spans="4:5" x14ac:dyDescent="0.2">
      <c r="D5404" s="148"/>
      <c r="E5404" s="154"/>
    </row>
    <row r="5405" spans="4:5" x14ac:dyDescent="0.2">
      <c r="D5405" s="148"/>
      <c r="E5405" s="154"/>
    </row>
    <row r="5406" spans="4:5" x14ac:dyDescent="0.2">
      <c r="D5406" s="148"/>
      <c r="E5406" s="154"/>
    </row>
    <row r="5407" spans="4:5" x14ac:dyDescent="0.2">
      <c r="D5407" s="148"/>
      <c r="E5407" s="154"/>
    </row>
    <row r="5408" spans="4:5" x14ac:dyDescent="0.2">
      <c r="D5408" s="148"/>
      <c r="E5408" s="154"/>
    </row>
    <row r="5409" spans="4:5" x14ac:dyDescent="0.2">
      <c r="D5409" s="148"/>
      <c r="E5409" s="154"/>
    </row>
    <row r="5410" spans="4:5" x14ac:dyDescent="0.2">
      <c r="D5410" s="148"/>
      <c r="E5410" s="154"/>
    </row>
    <row r="5411" spans="4:5" x14ac:dyDescent="0.2">
      <c r="D5411" s="148"/>
      <c r="E5411" s="154"/>
    </row>
    <row r="5412" spans="4:5" x14ac:dyDescent="0.2">
      <c r="D5412" s="148"/>
      <c r="E5412" s="154"/>
    </row>
    <row r="5413" spans="4:5" x14ac:dyDescent="0.2">
      <c r="D5413" s="148"/>
      <c r="E5413" s="154"/>
    </row>
    <row r="5414" spans="4:5" x14ac:dyDescent="0.2">
      <c r="D5414" s="148"/>
      <c r="E5414" s="154"/>
    </row>
    <row r="5415" spans="4:5" x14ac:dyDescent="0.2">
      <c r="D5415" s="148"/>
      <c r="E5415" s="154"/>
    </row>
    <row r="5416" spans="4:5" x14ac:dyDescent="0.2">
      <c r="D5416" s="148"/>
      <c r="E5416" s="154"/>
    </row>
    <row r="5417" spans="4:5" x14ac:dyDescent="0.2">
      <c r="D5417" s="148"/>
      <c r="E5417" s="154"/>
    </row>
    <row r="5418" spans="4:5" x14ac:dyDescent="0.2">
      <c r="D5418" s="148"/>
      <c r="E5418" s="154"/>
    </row>
    <row r="5419" spans="4:5" x14ac:dyDescent="0.2">
      <c r="D5419" s="148"/>
      <c r="E5419" s="154"/>
    </row>
    <row r="5420" spans="4:5" x14ac:dyDescent="0.2">
      <c r="D5420" s="148"/>
      <c r="E5420" s="154"/>
    </row>
    <row r="5421" spans="4:5" x14ac:dyDescent="0.2">
      <c r="D5421" s="148"/>
      <c r="E5421" s="154"/>
    </row>
    <row r="5422" spans="4:5" x14ac:dyDescent="0.2">
      <c r="D5422" s="148"/>
      <c r="E5422" s="154"/>
    </row>
    <row r="5423" spans="4:5" x14ac:dyDescent="0.2">
      <c r="D5423" s="148"/>
      <c r="E5423" s="154"/>
    </row>
    <row r="5424" spans="4:5" x14ac:dyDescent="0.2">
      <c r="D5424" s="148"/>
      <c r="E5424" s="154"/>
    </row>
    <row r="5425" spans="4:5" x14ac:dyDescent="0.2">
      <c r="D5425" s="148"/>
      <c r="E5425" s="154"/>
    </row>
    <row r="5426" spans="4:5" x14ac:dyDescent="0.2">
      <c r="D5426" s="148"/>
      <c r="E5426" s="154"/>
    </row>
    <row r="5427" spans="4:5" x14ac:dyDescent="0.2">
      <c r="D5427" s="148"/>
      <c r="E5427" s="154"/>
    </row>
    <row r="5428" spans="4:5" x14ac:dyDescent="0.2">
      <c r="D5428" s="148"/>
      <c r="E5428" s="154"/>
    </row>
    <row r="5429" spans="4:5" x14ac:dyDescent="0.2">
      <c r="D5429" s="148"/>
      <c r="E5429" s="154"/>
    </row>
    <row r="5430" spans="4:5" x14ac:dyDescent="0.2">
      <c r="D5430" s="148"/>
      <c r="E5430" s="154"/>
    </row>
    <row r="5431" spans="4:5" x14ac:dyDescent="0.2">
      <c r="D5431" s="148"/>
      <c r="E5431" s="154"/>
    </row>
    <row r="5432" spans="4:5" x14ac:dyDescent="0.2">
      <c r="D5432" s="148"/>
      <c r="E5432" s="154"/>
    </row>
    <row r="5433" spans="4:5" x14ac:dyDescent="0.2">
      <c r="D5433" s="148"/>
      <c r="E5433" s="154"/>
    </row>
    <row r="5434" spans="4:5" x14ac:dyDescent="0.2">
      <c r="D5434" s="148"/>
      <c r="E5434" s="154"/>
    </row>
    <row r="5435" spans="4:5" x14ac:dyDescent="0.2">
      <c r="D5435" s="148"/>
      <c r="E5435" s="154"/>
    </row>
    <row r="5436" spans="4:5" x14ac:dyDescent="0.2">
      <c r="D5436" s="148"/>
      <c r="E5436" s="154"/>
    </row>
    <row r="5437" spans="4:5" x14ac:dyDescent="0.2">
      <c r="D5437" s="148"/>
      <c r="E5437" s="154"/>
    </row>
    <row r="5438" spans="4:5" x14ac:dyDescent="0.2">
      <c r="D5438" s="148"/>
      <c r="E5438" s="154"/>
    </row>
    <row r="5439" spans="4:5" x14ac:dyDescent="0.2">
      <c r="D5439" s="148"/>
      <c r="E5439" s="154"/>
    </row>
    <row r="5440" spans="4:5" x14ac:dyDescent="0.2">
      <c r="D5440" s="148"/>
      <c r="E5440" s="154"/>
    </row>
    <row r="5441" spans="4:5" x14ac:dyDescent="0.2">
      <c r="D5441" s="148"/>
      <c r="E5441" s="154"/>
    </row>
    <row r="5442" spans="4:5" x14ac:dyDescent="0.2">
      <c r="D5442" s="148"/>
      <c r="E5442" s="154"/>
    </row>
    <row r="5443" spans="4:5" x14ac:dyDescent="0.2">
      <c r="D5443" s="148"/>
      <c r="E5443" s="154"/>
    </row>
    <row r="5444" spans="4:5" x14ac:dyDescent="0.2">
      <c r="D5444" s="148"/>
      <c r="E5444" s="154"/>
    </row>
    <row r="5445" spans="4:5" x14ac:dyDescent="0.2">
      <c r="D5445" s="148"/>
      <c r="E5445" s="154"/>
    </row>
    <row r="5446" spans="4:5" x14ac:dyDescent="0.2">
      <c r="D5446" s="148"/>
      <c r="E5446" s="154"/>
    </row>
    <row r="5447" spans="4:5" x14ac:dyDescent="0.2">
      <c r="D5447" s="148"/>
      <c r="E5447" s="154"/>
    </row>
    <row r="5448" spans="4:5" x14ac:dyDescent="0.2">
      <c r="D5448" s="148"/>
      <c r="E5448" s="154"/>
    </row>
    <row r="5449" spans="4:5" x14ac:dyDescent="0.2">
      <c r="D5449" s="148"/>
      <c r="E5449" s="154"/>
    </row>
    <row r="5450" spans="4:5" x14ac:dyDescent="0.2">
      <c r="D5450" s="148"/>
      <c r="E5450" s="154"/>
    </row>
    <row r="5451" spans="4:5" x14ac:dyDescent="0.2">
      <c r="D5451" s="148"/>
      <c r="E5451" s="154"/>
    </row>
    <row r="5452" spans="4:5" x14ac:dyDescent="0.2">
      <c r="D5452" s="148"/>
      <c r="E5452" s="154"/>
    </row>
    <row r="5453" spans="4:5" x14ac:dyDescent="0.2">
      <c r="D5453" s="148"/>
      <c r="E5453" s="154"/>
    </row>
    <row r="5454" spans="4:5" x14ac:dyDescent="0.2">
      <c r="D5454" s="148"/>
      <c r="E5454" s="154"/>
    </row>
    <row r="5455" spans="4:5" x14ac:dyDescent="0.2">
      <c r="D5455" s="148"/>
      <c r="E5455" s="154"/>
    </row>
    <row r="5456" spans="4:5" x14ac:dyDescent="0.2">
      <c r="D5456" s="148"/>
      <c r="E5456" s="154"/>
    </row>
    <row r="5457" spans="4:5" x14ac:dyDescent="0.2">
      <c r="D5457" s="148"/>
      <c r="E5457" s="154"/>
    </row>
    <row r="5458" spans="4:5" x14ac:dyDescent="0.2">
      <c r="D5458" s="148"/>
      <c r="E5458" s="154"/>
    </row>
    <row r="5459" spans="4:5" x14ac:dyDescent="0.2">
      <c r="D5459" s="148"/>
      <c r="E5459" s="154"/>
    </row>
    <row r="5460" spans="4:5" x14ac:dyDescent="0.2">
      <c r="D5460" s="148"/>
      <c r="E5460" s="154"/>
    </row>
    <row r="5461" spans="4:5" x14ac:dyDescent="0.2">
      <c r="D5461" s="148"/>
      <c r="E5461" s="154"/>
    </row>
    <row r="5462" spans="4:5" x14ac:dyDescent="0.2">
      <c r="D5462" s="148"/>
      <c r="E5462" s="154"/>
    </row>
    <row r="5463" spans="4:5" x14ac:dyDescent="0.2">
      <c r="D5463" s="148"/>
      <c r="E5463" s="154"/>
    </row>
    <row r="5464" spans="4:5" x14ac:dyDescent="0.2">
      <c r="D5464" s="148"/>
      <c r="E5464" s="154"/>
    </row>
    <row r="5465" spans="4:5" x14ac:dyDescent="0.2">
      <c r="D5465" s="148"/>
      <c r="E5465" s="154"/>
    </row>
    <row r="5466" spans="4:5" x14ac:dyDescent="0.2">
      <c r="D5466" s="148"/>
      <c r="E5466" s="154"/>
    </row>
    <row r="5467" spans="4:5" x14ac:dyDescent="0.2">
      <c r="D5467" s="148"/>
      <c r="E5467" s="154"/>
    </row>
    <row r="5468" spans="4:5" x14ac:dyDescent="0.2">
      <c r="D5468" s="148"/>
      <c r="E5468" s="154"/>
    </row>
    <row r="5469" spans="4:5" x14ac:dyDescent="0.2">
      <c r="D5469" s="148"/>
      <c r="E5469" s="154"/>
    </row>
    <row r="5470" spans="4:5" x14ac:dyDescent="0.2">
      <c r="D5470" s="148"/>
      <c r="E5470" s="154"/>
    </row>
    <row r="5471" spans="4:5" x14ac:dyDescent="0.2">
      <c r="D5471" s="148"/>
      <c r="E5471" s="154"/>
    </row>
    <row r="5472" spans="4:5" x14ac:dyDescent="0.2">
      <c r="D5472" s="148"/>
      <c r="E5472" s="154"/>
    </row>
    <row r="5473" spans="4:5" x14ac:dyDescent="0.2">
      <c r="D5473" s="148"/>
      <c r="E5473" s="154"/>
    </row>
    <row r="5474" spans="4:5" x14ac:dyDescent="0.2">
      <c r="D5474" s="148"/>
      <c r="E5474" s="154"/>
    </row>
    <row r="5475" spans="4:5" x14ac:dyDescent="0.2">
      <c r="D5475" s="148"/>
      <c r="E5475" s="154"/>
    </row>
    <row r="5476" spans="4:5" x14ac:dyDescent="0.2">
      <c r="D5476" s="148"/>
      <c r="E5476" s="154"/>
    </row>
    <row r="5477" spans="4:5" x14ac:dyDescent="0.2">
      <c r="D5477" s="148"/>
      <c r="E5477" s="154"/>
    </row>
    <row r="5478" spans="4:5" x14ac:dyDescent="0.2">
      <c r="D5478" s="148"/>
      <c r="E5478" s="154"/>
    </row>
    <row r="5479" spans="4:5" x14ac:dyDescent="0.2">
      <c r="D5479" s="148"/>
      <c r="E5479" s="154"/>
    </row>
    <row r="5480" spans="4:5" x14ac:dyDescent="0.2">
      <c r="D5480" s="148"/>
      <c r="E5480" s="154"/>
    </row>
    <row r="5481" spans="4:5" x14ac:dyDescent="0.2">
      <c r="D5481" s="148"/>
      <c r="E5481" s="154"/>
    </row>
    <row r="5482" spans="4:5" x14ac:dyDescent="0.2">
      <c r="D5482" s="148"/>
      <c r="E5482" s="154"/>
    </row>
    <row r="5483" spans="4:5" x14ac:dyDescent="0.2">
      <c r="D5483" s="148"/>
      <c r="E5483" s="154"/>
    </row>
    <row r="5484" spans="4:5" x14ac:dyDescent="0.2">
      <c r="D5484" s="148"/>
      <c r="E5484" s="154"/>
    </row>
    <row r="5485" spans="4:5" x14ac:dyDescent="0.2">
      <c r="D5485" s="148"/>
      <c r="E5485" s="154"/>
    </row>
    <row r="5486" spans="4:5" x14ac:dyDescent="0.2">
      <c r="D5486" s="148"/>
      <c r="E5486" s="154"/>
    </row>
    <row r="5487" spans="4:5" x14ac:dyDescent="0.2">
      <c r="D5487" s="148"/>
      <c r="E5487" s="154"/>
    </row>
    <row r="5488" spans="4:5" x14ac:dyDescent="0.2">
      <c r="D5488" s="148"/>
      <c r="E5488" s="154"/>
    </row>
    <row r="5489" spans="4:5" x14ac:dyDescent="0.2">
      <c r="D5489" s="148"/>
      <c r="E5489" s="154"/>
    </row>
    <row r="5490" spans="4:5" x14ac:dyDescent="0.2">
      <c r="D5490" s="148"/>
      <c r="E5490" s="154"/>
    </row>
    <row r="5491" spans="4:5" x14ac:dyDescent="0.2">
      <c r="D5491" s="148"/>
      <c r="E5491" s="154"/>
    </row>
    <row r="5492" spans="4:5" x14ac:dyDescent="0.2">
      <c r="D5492" s="148"/>
      <c r="E5492" s="154"/>
    </row>
    <row r="5493" spans="4:5" x14ac:dyDescent="0.2">
      <c r="D5493" s="148"/>
      <c r="E5493" s="154"/>
    </row>
    <row r="5494" spans="4:5" x14ac:dyDescent="0.2">
      <c r="D5494" s="148"/>
      <c r="E5494" s="154"/>
    </row>
    <row r="5495" spans="4:5" x14ac:dyDescent="0.2">
      <c r="D5495" s="148"/>
      <c r="E5495" s="154"/>
    </row>
    <row r="5496" spans="4:5" x14ac:dyDescent="0.2">
      <c r="D5496" s="148"/>
      <c r="E5496" s="154"/>
    </row>
    <row r="5497" spans="4:5" x14ac:dyDescent="0.2">
      <c r="D5497" s="148"/>
      <c r="E5497" s="154"/>
    </row>
    <row r="5498" spans="4:5" x14ac:dyDescent="0.2">
      <c r="D5498" s="148"/>
      <c r="E5498" s="154"/>
    </row>
    <row r="5499" spans="4:5" x14ac:dyDescent="0.2">
      <c r="D5499" s="148"/>
      <c r="E5499" s="154"/>
    </row>
    <row r="5500" spans="4:5" x14ac:dyDescent="0.2">
      <c r="D5500" s="148"/>
      <c r="E5500" s="154"/>
    </row>
    <row r="5501" spans="4:5" x14ac:dyDescent="0.2">
      <c r="D5501" s="148"/>
      <c r="E5501" s="154"/>
    </row>
    <row r="5502" spans="4:5" x14ac:dyDescent="0.2">
      <c r="D5502" s="148"/>
      <c r="E5502" s="154"/>
    </row>
    <row r="5503" spans="4:5" x14ac:dyDescent="0.2">
      <c r="D5503" s="148"/>
      <c r="E5503" s="154"/>
    </row>
    <row r="5504" spans="4:5" x14ac:dyDescent="0.2">
      <c r="D5504" s="148"/>
      <c r="E5504" s="154"/>
    </row>
    <row r="5505" spans="4:5" x14ac:dyDescent="0.2">
      <c r="D5505" s="148"/>
      <c r="E5505" s="154"/>
    </row>
    <row r="5506" spans="4:5" x14ac:dyDescent="0.2">
      <c r="D5506" s="148"/>
      <c r="E5506" s="154"/>
    </row>
    <row r="5507" spans="4:5" x14ac:dyDescent="0.2">
      <c r="D5507" s="148"/>
      <c r="E5507" s="154"/>
    </row>
    <row r="5508" spans="4:5" x14ac:dyDescent="0.2">
      <c r="D5508" s="148"/>
      <c r="E5508" s="154"/>
    </row>
    <row r="5509" spans="4:5" x14ac:dyDescent="0.2">
      <c r="D5509" s="148"/>
      <c r="E5509" s="154"/>
    </row>
    <row r="5510" spans="4:5" x14ac:dyDescent="0.2">
      <c r="D5510" s="148"/>
      <c r="E5510" s="154"/>
    </row>
    <row r="5511" spans="4:5" x14ac:dyDescent="0.2">
      <c r="D5511" s="148"/>
      <c r="E5511" s="154"/>
    </row>
    <row r="5512" spans="4:5" x14ac:dyDescent="0.2">
      <c r="D5512" s="148"/>
      <c r="E5512" s="154"/>
    </row>
    <row r="5513" spans="4:5" x14ac:dyDescent="0.2">
      <c r="D5513" s="148"/>
      <c r="E5513" s="154"/>
    </row>
    <row r="5514" spans="4:5" x14ac:dyDescent="0.2">
      <c r="D5514" s="148"/>
      <c r="E5514" s="154"/>
    </row>
    <row r="5515" spans="4:5" x14ac:dyDescent="0.2">
      <c r="D5515" s="148"/>
      <c r="E5515" s="154"/>
    </row>
    <row r="5516" spans="4:5" x14ac:dyDescent="0.2">
      <c r="D5516" s="148"/>
      <c r="E5516" s="154"/>
    </row>
    <row r="5517" spans="4:5" x14ac:dyDescent="0.2">
      <c r="D5517" s="148"/>
      <c r="E5517" s="154"/>
    </row>
    <row r="5518" spans="4:5" x14ac:dyDescent="0.2">
      <c r="D5518" s="148"/>
      <c r="E5518" s="154"/>
    </row>
    <row r="5519" spans="4:5" x14ac:dyDescent="0.2">
      <c r="D5519" s="148"/>
      <c r="E5519" s="154"/>
    </row>
    <row r="5520" spans="4:5" x14ac:dyDescent="0.2">
      <c r="D5520" s="148"/>
      <c r="E5520" s="154"/>
    </row>
    <row r="5521" spans="4:5" x14ac:dyDescent="0.2">
      <c r="D5521" s="148"/>
      <c r="E5521" s="154"/>
    </row>
    <row r="5522" spans="4:5" x14ac:dyDescent="0.2">
      <c r="D5522" s="148"/>
      <c r="E5522" s="154"/>
    </row>
    <row r="5523" spans="4:5" x14ac:dyDescent="0.2">
      <c r="D5523" s="148"/>
      <c r="E5523" s="154"/>
    </row>
    <row r="5524" spans="4:5" x14ac:dyDescent="0.2">
      <c r="D5524" s="148"/>
      <c r="E5524" s="154"/>
    </row>
    <row r="5525" spans="4:5" x14ac:dyDescent="0.2">
      <c r="D5525" s="148"/>
      <c r="E5525" s="154"/>
    </row>
    <row r="5526" spans="4:5" x14ac:dyDescent="0.2">
      <c r="D5526" s="148"/>
      <c r="E5526" s="154"/>
    </row>
    <row r="5527" spans="4:5" x14ac:dyDescent="0.2">
      <c r="D5527" s="148"/>
      <c r="E5527" s="154"/>
    </row>
    <row r="5528" spans="4:5" x14ac:dyDescent="0.2">
      <c r="D5528" s="148"/>
      <c r="E5528" s="154"/>
    </row>
    <row r="5529" spans="4:5" x14ac:dyDescent="0.2">
      <c r="D5529" s="148"/>
      <c r="E5529" s="154"/>
    </row>
    <row r="5530" spans="4:5" x14ac:dyDescent="0.2">
      <c r="D5530" s="148"/>
      <c r="E5530" s="154"/>
    </row>
    <row r="5531" spans="4:5" x14ac:dyDescent="0.2">
      <c r="D5531" s="148"/>
      <c r="E5531" s="154"/>
    </row>
    <row r="5532" spans="4:5" x14ac:dyDescent="0.2">
      <c r="D5532" s="148"/>
      <c r="E5532" s="154"/>
    </row>
    <row r="5533" spans="4:5" x14ac:dyDescent="0.2">
      <c r="D5533" s="148"/>
      <c r="E5533" s="154"/>
    </row>
    <row r="5534" spans="4:5" x14ac:dyDescent="0.2">
      <c r="D5534" s="148"/>
      <c r="E5534" s="154"/>
    </row>
    <row r="5535" spans="4:5" x14ac:dyDescent="0.2">
      <c r="D5535" s="148"/>
      <c r="E5535" s="154"/>
    </row>
    <row r="5536" spans="4:5" x14ac:dyDescent="0.2">
      <c r="D5536" s="148"/>
      <c r="E5536" s="154"/>
    </row>
    <row r="5537" spans="4:5" x14ac:dyDescent="0.2">
      <c r="D5537" s="148"/>
      <c r="E5537" s="154"/>
    </row>
    <row r="5538" spans="4:5" x14ac:dyDescent="0.2">
      <c r="D5538" s="148"/>
      <c r="E5538" s="154"/>
    </row>
    <row r="5539" spans="4:5" x14ac:dyDescent="0.2">
      <c r="D5539" s="148"/>
      <c r="E5539" s="154"/>
    </row>
    <row r="5540" spans="4:5" x14ac:dyDescent="0.2">
      <c r="D5540" s="148"/>
      <c r="E5540" s="154"/>
    </row>
    <row r="5541" spans="4:5" x14ac:dyDescent="0.2">
      <c r="D5541" s="148"/>
      <c r="E5541" s="154"/>
    </row>
    <row r="5542" spans="4:5" x14ac:dyDescent="0.2">
      <c r="D5542" s="148"/>
      <c r="E5542" s="154"/>
    </row>
    <row r="5543" spans="4:5" x14ac:dyDescent="0.2">
      <c r="D5543" s="148"/>
      <c r="E5543" s="154"/>
    </row>
    <row r="5544" spans="4:5" x14ac:dyDescent="0.2">
      <c r="D5544" s="148"/>
      <c r="E5544" s="154"/>
    </row>
    <row r="5545" spans="4:5" x14ac:dyDescent="0.2">
      <c r="D5545" s="148"/>
      <c r="E5545" s="154"/>
    </row>
    <row r="5546" spans="4:5" x14ac:dyDescent="0.2">
      <c r="D5546" s="148"/>
      <c r="E5546" s="154"/>
    </row>
    <row r="5547" spans="4:5" x14ac:dyDescent="0.2">
      <c r="D5547" s="148"/>
      <c r="E5547" s="154"/>
    </row>
    <row r="5548" spans="4:5" x14ac:dyDescent="0.2">
      <c r="D5548" s="148"/>
      <c r="E5548" s="154"/>
    </row>
    <row r="5549" spans="4:5" x14ac:dyDescent="0.2">
      <c r="D5549" s="148"/>
      <c r="E5549" s="154"/>
    </row>
    <row r="5550" spans="4:5" x14ac:dyDescent="0.2">
      <c r="D5550" s="148"/>
      <c r="E5550" s="154"/>
    </row>
    <row r="5551" spans="4:5" x14ac:dyDescent="0.2">
      <c r="D5551" s="148"/>
      <c r="E5551" s="154"/>
    </row>
    <row r="5552" spans="4:5" x14ac:dyDescent="0.2">
      <c r="D5552" s="148"/>
      <c r="E5552" s="154"/>
    </row>
    <row r="5553" spans="4:5" x14ac:dyDescent="0.2">
      <c r="D5553" s="148"/>
      <c r="E5553" s="154"/>
    </row>
    <row r="5554" spans="4:5" x14ac:dyDescent="0.2">
      <c r="D5554" s="148"/>
      <c r="E5554" s="154"/>
    </row>
    <row r="5555" spans="4:5" x14ac:dyDescent="0.2">
      <c r="D5555" s="148"/>
      <c r="E5555" s="154"/>
    </row>
    <row r="5556" spans="4:5" x14ac:dyDescent="0.2">
      <c r="D5556" s="148"/>
      <c r="E5556" s="154"/>
    </row>
    <row r="5557" spans="4:5" x14ac:dyDescent="0.2">
      <c r="D5557" s="148"/>
      <c r="E5557" s="154"/>
    </row>
    <row r="5558" spans="4:5" x14ac:dyDescent="0.2">
      <c r="D5558" s="148"/>
      <c r="E5558" s="154"/>
    </row>
    <row r="5559" spans="4:5" x14ac:dyDescent="0.2">
      <c r="D5559" s="148"/>
      <c r="E5559" s="154"/>
    </row>
    <row r="5560" spans="4:5" x14ac:dyDescent="0.2">
      <c r="D5560" s="148"/>
      <c r="E5560" s="154"/>
    </row>
    <row r="5561" spans="4:5" x14ac:dyDescent="0.2">
      <c r="D5561" s="148"/>
      <c r="E5561" s="154"/>
    </row>
    <row r="5562" spans="4:5" x14ac:dyDescent="0.2">
      <c r="D5562" s="148"/>
      <c r="E5562" s="154"/>
    </row>
    <row r="5563" spans="4:5" x14ac:dyDescent="0.2">
      <c r="D5563" s="148"/>
      <c r="E5563" s="154"/>
    </row>
    <row r="5564" spans="4:5" x14ac:dyDescent="0.2">
      <c r="D5564" s="148"/>
      <c r="E5564" s="154"/>
    </row>
    <row r="5565" spans="4:5" x14ac:dyDescent="0.2">
      <c r="D5565" s="148"/>
      <c r="E5565" s="154"/>
    </row>
    <row r="5566" spans="4:5" x14ac:dyDescent="0.2">
      <c r="D5566" s="148"/>
      <c r="E5566" s="154"/>
    </row>
    <row r="5567" spans="4:5" x14ac:dyDescent="0.2">
      <c r="D5567" s="148"/>
      <c r="E5567" s="154"/>
    </row>
    <row r="5568" spans="4:5" x14ac:dyDescent="0.2">
      <c r="D5568" s="148"/>
      <c r="E5568" s="154"/>
    </row>
    <row r="5569" spans="4:5" x14ac:dyDescent="0.2">
      <c r="D5569" s="148"/>
      <c r="E5569" s="154"/>
    </row>
    <row r="5570" spans="4:5" x14ac:dyDescent="0.2">
      <c r="D5570" s="148"/>
      <c r="E5570" s="154"/>
    </row>
    <row r="5571" spans="4:5" x14ac:dyDescent="0.2">
      <c r="D5571" s="148"/>
      <c r="E5571" s="154"/>
    </row>
    <row r="5572" spans="4:5" x14ac:dyDescent="0.2">
      <c r="D5572" s="148"/>
      <c r="E5572" s="154"/>
    </row>
    <row r="5573" spans="4:5" x14ac:dyDescent="0.2">
      <c r="D5573" s="148"/>
      <c r="E5573" s="154"/>
    </row>
    <row r="5574" spans="4:5" x14ac:dyDescent="0.2">
      <c r="D5574" s="148"/>
      <c r="E5574" s="154"/>
    </row>
    <row r="5575" spans="4:5" x14ac:dyDescent="0.2">
      <c r="D5575" s="148"/>
      <c r="E5575" s="154"/>
    </row>
    <row r="5576" spans="4:5" x14ac:dyDescent="0.2">
      <c r="D5576" s="148"/>
      <c r="E5576" s="154"/>
    </row>
    <row r="5577" spans="4:5" x14ac:dyDescent="0.2">
      <c r="D5577" s="148"/>
      <c r="E5577" s="154"/>
    </row>
    <row r="5578" spans="4:5" x14ac:dyDescent="0.2">
      <c r="D5578" s="148"/>
      <c r="E5578" s="154"/>
    </row>
    <row r="5579" spans="4:5" x14ac:dyDescent="0.2">
      <c r="D5579" s="148"/>
      <c r="E5579" s="154"/>
    </row>
    <row r="5580" spans="4:5" x14ac:dyDescent="0.2">
      <c r="D5580" s="148"/>
      <c r="E5580" s="154"/>
    </row>
    <row r="5581" spans="4:5" x14ac:dyDescent="0.2">
      <c r="D5581" s="148"/>
      <c r="E5581" s="154"/>
    </row>
    <row r="5582" spans="4:5" x14ac:dyDescent="0.2">
      <c r="D5582" s="148"/>
      <c r="E5582" s="154"/>
    </row>
    <row r="5583" spans="4:5" x14ac:dyDescent="0.2">
      <c r="D5583" s="148"/>
      <c r="E5583" s="154"/>
    </row>
    <row r="5584" spans="4:5" x14ac:dyDescent="0.2">
      <c r="D5584" s="148"/>
      <c r="E5584" s="154"/>
    </row>
    <row r="5585" spans="4:5" x14ac:dyDescent="0.2">
      <c r="D5585" s="148"/>
      <c r="E5585" s="154"/>
    </row>
    <row r="5586" spans="4:5" x14ac:dyDescent="0.2">
      <c r="D5586" s="148"/>
      <c r="E5586" s="154"/>
    </row>
    <row r="5587" spans="4:5" x14ac:dyDescent="0.2">
      <c r="D5587" s="148"/>
      <c r="E5587" s="154"/>
    </row>
    <row r="5588" spans="4:5" x14ac:dyDescent="0.2">
      <c r="D5588" s="148"/>
      <c r="E5588" s="154"/>
    </row>
    <row r="5589" spans="4:5" x14ac:dyDescent="0.2">
      <c r="D5589" s="148"/>
      <c r="E5589" s="154"/>
    </row>
    <row r="5590" spans="4:5" x14ac:dyDescent="0.2">
      <c r="D5590" s="148"/>
      <c r="E5590" s="154"/>
    </row>
    <row r="5591" spans="4:5" x14ac:dyDescent="0.2">
      <c r="D5591" s="148"/>
      <c r="E5591" s="154"/>
    </row>
    <row r="5592" spans="4:5" x14ac:dyDescent="0.2">
      <c r="D5592" s="148"/>
      <c r="E5592" s="154"/>
    </row>
    <row r="5593" spans="4:5" x14ac:dyDescent="0.2">
      <c r="D5593" s="148"/>
      <c r="E5593" s="154"/>
    </row>
    <row r="5594" spans="4:5" x14ac:dyDescent="0.2">
      <c r="D5594" s="148"/>
      <c r="E5594" s="154"/>
    </row>
    <row r="5595" spans="4:5" x14ac:dyDescent="0.2">
      <c r="D5595" s="148"/>
      <c r="E5595" s="154"/>
    </row>
    <row r="5596" spans="4:5" x14ac:dyDescent="0.2">
      <c r="D5596" s="148"/>
      <c r="E5596" s="154"/>
    </row>
    <row r="5597" spans="4:5" x14ac:dyDescent="0.2">
      <c r="D5597" s="148"/>
      <c r="E5597" s="154"/>
    </row>
    <row r="5598" spans="4:5" x14ac:dyDescent="0.2">
      <c r="D5598" s="148"/>
      <c r="E5598" s="154"/>
    </row>
    <row r="5599" spans="4:5" x14ac:dyDescent="0.2">
      <c r="D5599" s="148"/>
      <c r="E5599" s="154"/>
    </row>
    <row r="5600" spans="4:5" x14ac:dyDescent="0.2">
      <c r="D5600" s="148"/>
      <c r="E5600" s="154"/>
    </row>
    <row r="5601" spans="4:5" x14ac:dyDescent="0.2">
      <c r="D5601" s="148"/>
      <c r="E5601" s="154"/>
    </row>
    <row r="5602" spans="4:5" x14ac:dyDescent="0.2">
      <c r="D5602" s="148"/>
      <c r="E5602" s="154"/>
    </row>
    <row r="5603" spans="4:5" x14ac:dyDescent="0.2">
      <c r="D5603" s="148"/>
      <c r="E5603" s="154"/>
    </row>
    <row r="5604" spans="4:5" x14ac:dyDescent="0.2">
      <c r="D5604" s="148"/>
      <c r="E5604" s="154"/>
    </row>
    <row r="5605" spans="4:5" x14ac:dyDescent="0.2">
      <c r="D5605" s="148"/>
      <c r="E5605" s="154"/>
    </row>
    <row r="5606" spans="4:5" x14ac:dyDescent="0.2">
      <c r="D5606" s="148"/>
      <c r="E5606" s="154"/>
    </row>
    <row r="5607" spans="4:5" x14ac:dyDescent="0.2">
      <c r="D5607" s="148"/>
      <c r="E5607" s="154"/>
    </row>
    <row r="5608" spans="4:5" x14ac:dyDescent="0.2">
      <c r="D5608" s="148"/>
      <c r="E5608" s="154"/>
    </row>
    <row r="5609" spans="4:5" x14ac:dyDescent="0.2">
      <c r="D5609" s="148"/>
      <c r="E5609" s="154"/>
    </row>
    <row r="5610" spans="4:5" x14ac:dyDescent="0.2">
      <c r="D5610" s="148"/>
      <c r="E5610" s="154"/>
    </row>
    <row r="5611" spans="4:5" x14ac:dyDescent="0.2">
      <c r="D5611" s="148"/>
      <c r="E5611" s="154"/>
    </row>
    <row r="5612" spans="4:5" x14ac:dyDescent="0.2">
      <c r="D5612" s="148"/>
      <c r="E5612" s="154"/>
    </row>
    <row r="5613" spans="4:5" x14ac:dyDescent="0.2">
      <c r="D5613" s="148"/>
      <c r="E5613" s="154"/>
    </row>
    <row r="5614" spans="4:5" x14ac:dyDescent="0.2">
      <c r="D5614" s="148"/>
      <c r="E5614" s="154"/>
    </row>
    <row r="5615" spans="4:5" x14ac:dyDescent="0.2">
      <c r="D5615" s="148"/>
      <c r="E5615" s="154"/>
    </row>
    <row r="5616" spans="4:5" x14ac:dyDescent="0.2">
      <c r="D5616" s="148"/>
      <c r="E5616" s="154"/>
    </row>
    <row r="5617" spans="4:5" x14ac:dyDescent="0.2">
      <c r="D5617" s="148"/>
      <c r="E5617" s="154"/>
    </row>
    <row r="5618" spans="4:5" x14ac:dyDescent="0.2">
      <c r="D5618" s="148"/>
      <c r="E5618" s="154"/>
    </row>
    <row r="5619" spans="4:5" x14ac:dyDescent="0.2">
      <c r="D5619" s="148"/>
      <c r="E5619" s="154"/>
    </row>
    <row r="5620" spans="4:5" x14ac:dyDescent="0.2">
      <c r="D5620" s="148"/>
      <c r="E5620" s="154"/>
    </row>
    <row r="5621" spans="4:5" x14ac:dyDescent="0.2">
      <c r="D5621" s="148"/>
      <c r="E5621" s="154"/>
    </row>
    <row r="5622" spans="4:5" x14ac:dyDescent="0.2">
      <c r="D5622" s="148"/>
      <c r="E5622" s="154"/>
    </row>
    <row r="5623" spans="4:5" x14ac:dyDescent="0.2">
      <c r="D5623" s="148"/>
      <c r="E5623" s="154"/>
    </row>
    <row r="5624" spans="4:5" x14ac:dyDescent="0.2">
      <c r="D5624" s="148"/>
      <c r="E5624" s="154"/>
    </row>
    <row r="5625" spans="4:5" x14ac:dyDescent="0.2">
      <c r="D5625" s="148"/>
      <c r="E5625" s="154"/>
    </row>
    <row r="5626" spans="4:5" x14ac:dyDescent="0.2">
      <c r="D5626" s="148"/>
      <c r="E5626" s="154"/>
    </row>
    <row r="5627" spans="4:5" x14ac:dyDescent="0.2">
      <c r="D5627" s="148"/>
      <c r="E5627" s="154"/>
    </row>
    <row r="5628" spans="4:5" x14ac:dyDescent="0.2">
      <c r="D5628" s="148"/>
      <c r="E5628" s="154"/>
    </row>
    <row r="5629" spans="4:5" x14ac:dyDescent="0.2">
      <c r="D5629" s="148"/>
      <c r="E5629" s="154"/>
    </row>
    <row r="5630" spans="4:5" x14ac:dyDescent="0.2">
      <c r="D5630" s="148"/>
      <c r="E5630" s="154"/>
    </row>
    <row r="5631" spans="4:5" x14ac:dyDescent="0.2">
      <c r="D5631" s="148"/>
      <c r="E5631" s="154"/>
    </row>
    <row r="5632" spans="4:5" x14ac:dyDescent="0.2">
      <c r="D5632" s="148"/>
      <c r="E5632" s="154"/>
    </row>
    <row r="5633" spans="4:5" x14ac:dyDescent="0.2">
      <c r="D5633" s="148"/>
      <c r="E5633" s="154"/>
    </row>
    <row r="5634" spans="4:5" x14ac:dyDescent="0.2">
      <c r="D5634" s="148"/>
      <c r="E5634" s="154"/>
    </row>
    <row r="5635" spans="4:5" x14ac:dyDescent="0.2">
      <c r="D5635" s="148"/>
      <c r="E5635" s="154"/>
    </row>
    <row r="5636" spans="4:5" x14ac:dyDescent="0.2">
      <c r="D5636" s="148"/>
      <c r="E5636" s="154"/>
    </row>
    <row r="5637" spans="4:5" x14ac:dyDescent="0.2">
      <c r="D5637" s="148"/>
      <c r="E5637" s="154"/>
    </row>
    <row r="5638" spans="4:5" x14ac:dyDescent="0.2">
      <c r="D5638" s="148"/>
      <c r="E5638" s="154"/>
    </row>
    <row r="5639" spans="4:5" x14ac:dyDescent="0.2">
      <c r="D5639" s="148"/>
      <c r="E5639" s="154"/>
    </row>
    <row r="5640" spans="4:5" x14ac:dyDescent="0.2">
      <c r="D5640" s="148"/>
      <c r="E5640" s="154"/>
    </row>
    <row r="5641" spans="4:5" x14ac:dyDescent="0.2">
      <c r="D5641" s="148"/>
      <c r="E5641" s="154"/>
    </row>
    <row r="5642" spans="4:5" x14ac:dyDescent="0.2">
      <c r="D5642" s="148"/>
      <c r="E5642" s="154"/>
    </row>
    <row r="5643" spans="4:5" x14ac:dyDescent="0.2">
      <c r="D5643" s="148"/>
      <c r="E5643" s="154"/>
    </row>
    <row r="5644" spans="4:5" x14ac:dyDescent="0.2">
      <c r="D5644" s="148"/>
      <c r="E5644" s="154"/>
    </row>
    <row r="5645" spans="4:5" x14ac:dyDescent="0.2">
      <c r="D5645" s="148"/>
      <c r="E5645" s="154"/>
    </row>
    <row r="5646" spans="4:5" x14ac:dyDescent="0.2">
      <c r="D5646" s="148"/>
      <c r="E5646" s="154"/>
    </row>
    <row r="5647" spans="4:5" x14ac:dyDescent="0.2">
      <c r="D5647" s="148"/>
      <c r="E5647" s="154"/>
    </row>
    <row r="5648" spans="4:5" x14ac:dyDescent="0.2">
      <c r="D5648" s="148"/>
      <c r="E5648" s="154"/>
    </row>
    <row r="5649" spans="4:5" x14ac:dyDescent="0.2">
      <c r="D5649" s="148"/>
      <c r="E5649" s="154"/>
    </row>
    <row r="5650" spans="4:5" x14ac:dyDescent="0.2">
      <c r="D5650" s="148"/>
      <c r="E5650" s="154"/>
    </row>
    <row r="5651" spans="4:5" x14ac:dyDescent="0.2">
      <c r="D5651" s="148"/>
      <c r="E5651" s="154"/>
    </row>
    <row r="5652" spans="4:5" x14ac:dyDescent="0.2">
      <c r="D5652" s="148"/>
      <c r="E5652" s="154"/>
    </row>
    <row r="5653" spans="4:5" x14ac:dyDescent="0.2">
      <c r="D5653" s="148"/>
      <c r="E5653" s="154"/>
    </row>
    <row r="5654" spans="4:5" x14ac:dyDescent="0.2">
      <c r="D5654" s="148"/>
      <c r="E5654" s="154"/>
    </row>
    <row r="5655" spans="4:5" x14ac:dyDescent="0.2">
      <c r="D5655" s="148"/>
      <c r="E5655" s="154"/>
    </row>
    <row r="5656" spans="4:5" x14ac:dyDescent="0.2">
      <c r="D5656" s="148"/>
      <c r="E5656" s="154"/>
    </row>
    <row r="5657" spans="4:5" x14ac:dyDescent="0.2">
      <c r="D5657" s="148"/>
      <c r="E5657" s="154"/>
    </row>
    <row r="5658" spans="4:5" x14ac:dyDescent="0.2">
      <c r="D5658" s="148"/>
      <c r="E5658" s="154"/>
    </row>
    <row r="5659" spans="4:5" x14ac:dyDescent="0.2">
      <c r="D5659" s="148"/>
      <c r="E5659" s="154"/>
    </row>
    <row r="5660" spans="4:5" x14ac:dyDescent="0.2">
      <c r="D5660" s="148"/>
      <c r="E5660" s="154"/>
    </row>
    <row r="5661" spans="4:5" x14ac:dyDescent="0.2">
      <c r="D5661" s="148"/>
      <c r="E5661" s="154"/>
    </row>
    <row r="5662" spans="4:5" x14ac:dyDescent="0.2">
      <c r="D5662" s="148"/>
      <c r="E5662" s="154"/>
    </row>
    <row r="5663" spans="4:5" x14ac:dyDescent="0.2">
      <c r="D5663" s="148"/>
      <c r="E5663" s="154"/>
    </row>
    <row r="5664" spans="4:5" x14ac:dyDescent="0.2">
      <c r="D5664" s="148"/>
      <c r="E5664" s="154"/>
    </row>
    <row r="5665" spans="4:5" x14ac:dyDescent="0.2">
      <c r="D5665" s="148"/>
      <c r="E5665" s="154"/>
    </row>
    <row r="5666" spans="4:5" x14ac:dyDescent="0.2">
      <c r="D5666" s="148"/>
      <c r="E5666" s="154"/>
    </row>
    <row r="5667" spans="4:5" x14ac:dyDescent="0.2">
      <c r="D5667" s="148"/>
      <c r="E5667" s="154"/>
    </row>
    <row r="5668" spans="4:5" x14ac:dyDescent="0.2">
      <c r="D5668" s="148"/>
      <c r="E5668" s="154"/>
    </row>
    <row r="5669" spans="4:5" x14ac:dyDescent="0.2">
      <c r="D5669" s="148"/>
      <c r="E5669" s="154"/>
    </row>
    <row r="5670" spans="4:5" x14ac:dyDescent="0.2">
      <c r="D5670" s="148"/>
      <c r="E5670" s="154"/>
    </row>
    <row r="5671" spans="4:5" x14ac:dyDescent="0.2">
      <c r="D5671" s="148"/>
      <c r="E5671" s="154"/>
    </row>
    <row r="5672" spans="4:5" x14ac:dyDescent="0.2">
      <c r="D5672" s="148"/>
      <c r="E5672" s="154"/>
    </row>
    <row r="5673" spans="4:5" x14ac:dyDescent="0.2">
      <c r="D5673" s="148"/>
      <c r="E5673" s="154"/>
    </row>
    <row r="5674" spans="4:5" x14ac:dyDescent="0.2">
      <c r="D5674" s="148"/>
      <c r="E5674" s="154"/>
    </row>
    <row r="5675" spans="4:5" x14ac:dyDescent="0.2">
      <c r="D5675" s="148"/>
      <c r="E5675" s="154"/>
    </row>
    <row r="5676" spans="4:5" x14ac:dyDescent="0.2">
      <c r="D5676" s="148"/>
      <c r="E5676" s="154"/>
    </row>
    <row r="5677" spans="4:5" x14ac:dyDescent="0.2">
      <c r="D5677" s="148"/>
      <c r="E5677" s="154"/>
    </row>
    <row r="5678" spans="4:5" x14ac:dyDescent="0.2">
      <c r="D5678" s="148"/>
      <c r="E5678" s="154"/>
    </row>
    <row r="5679" spans="4:5" x14ac:dyDescent="0.2">
      <c r="D5679" s="148"/>
      <c r="E5679" s="154"/>
    </row>
    <row r="5680" spans="4:5" x14ac:dyDescent="0.2">
      <c r="D5680" s="148"/>
      <c r="E5680" s="154"/>
    </row>
    <row r="5681" spans="4:5" x14ac:dyDescent="0.2">
      <c r="D5681" s="148"/>
      <c r="E5681" s="154"/>
    </row>
    <row r="5682" spans="4:5" x14ac:dyDescent="0.2">
      <c r="D5682" s="148"/>
      <c r="E5682" s="154"/>
    </row>
    <row r="5683" spans="4:5" x14ac:dyDescent="0.2">
      <c r="D5683" s="148"/>
      <c r="E5683" s="154"/>
    </row>
    <row r="5684" spans="4:5" x14ac:dyDescent="0.2">
      <c r="D5684" s="148"/>
      <c r="E5684" s="154"/>
    </row>
    <row r="5685" spans="4:5" x14ac:dyDescent="0.2">
      <c r="D5685" s="148"/>
      <c r="E5685" s="154"/>
    </row>
    <row r="5686" spans="4:5" x14ac:dyDescent="0.2">
      <c r="D5686" s="148"/>
      <c r="E5686" s="154"/>
    </row>
    <row r="5687" spans="4:5" x14ac:dyDescent="0.2">
      <c r="D5687" s="148"/>
      <c r="E5687" s="154"/>
    </row>
    <row r="5688" spans="4:5" x14ac:dyDescent="0.2">
      <c r="D5688" s="148"/>
      <c r="E5688" s="154"/>
    </row>
    <row r="5689" spans="4:5" x14ac:dyDescent="0.2">
      <c r="D5689" s="148"/>
      <c r="E5689" s="154"/>
    </row>
    <row r="5690" spans="4:5" x14ac:dyDescent="0.2">
      <c r="D5690" s="148"/>
      <c r="E5690" s="154"/>
    </row>
    <row r="5691" spans="4:5" x14ac:dyDescent="0.2">
      <c r="D5691" s="148"/>
      <c r="E5691" s="154"/>
    </row>
    <row r="5692" spans="4:5" x14ac:dyDescent="0.2">
      <c r="D5692" s="148"/>
      <c r="E5692" s="154"/>
    </row>
    <row r="5693" spans="4:5" x14ac:dyDescent="0.2">
      <c r="D5693" s="148"/>
      <c r="E5693" s="154"/>
    </row>
    <row r="5694" spans="4:5" x14ac:dyDescent="0.2">
      <c r="D5694" s="148"/>
      <c r="E5694" s="154"/>
    </row>
    <row r="5695" spans="4:5" x14ac:dyDescent="0.2">
      <c r="D5695" s="148"/>
      <c r="E5695" s="154"/>
    </row>
    <row r="5696" spans="4:5" x14ac:dyDescent="0.2">
      <c r="D5696" s="148"/>
      <c r="E5696" s="154"/>
    </row>
    <row r="5697" spans="4:5" x14ac:dyDescent="0.2">
      <c r="D5697" s="148"/>
      <c r="E5697" s="154"/>
    </row>
    <row r="5698" spans="4:5" x14ac:dyDescent="0.2">
      <c r="D5698" s="148"/>
      <c r="E5698" s="154"/>
    </row>
    <row r="5699" spans="4:5" x14ac:dyDescent="0.2">
      <c r="D5699" s="148"/>
      <c r="E5699" s="154"/>
    </row>
    <row r="5700" spans="4:5" x14ac:dyDescent="0.2">
      <c r="D5700" s="148"/>
      <c r="E5700" s="154"/>
    </row>
    <row r="5701" spans="4:5" x14ac:dyDescent="0.2">
      <c r="D5701" s="148"/>
      <c r="E5701" s="154"/>
    </row>
    <row r="5702" spans="4:5" x14ac:dyDescent="0.2">
      <c r="D5702" s="148"/>
      <c r="E5702" s="154"/>
    </row>
    <row r="5703" spans="4:5" x14ac:dyDescent="0.2">
      <c r="D5703" s="148"/>
      <c r="E5703" s="154"/>
    </row>
    <row r="5704" spans="4:5" x14ac:dyDescent="0.2">
      <c r="D5704" s="148"/>
      <c r="E5704" s="154"/>
    </row>
    <row r="5705" spans="4:5" x14ac:dyDescent="0.2">
      <c r="D5705" s="148"/>
      <c r="E5705" s="154"/>
    </row>
    <row r="5706" spans="4:5" x14ac:dyDescent="0.2">
      <c r="D5706" s="148"/>
      <c r="E5706" s="154"/>
    </row>
    <row r="5707" spans="4:5" x14ac:dyDescent="0.2">
      <c r="D5707" s="148"/>
      <c r="E5707" s="154"/>
    </row>
    <row r="5708" spans="4:5" x14ac:dyDescent="0.2">
      <c r="D5708" s="148"/>
      <c r="E5708" s="154"/>
    </row>
    <row r="5709" spans="4:5" x14ac:dyDescent="0.2">
      <c r="D5709" s="148"/>
      <c r="E5709" s="154"/>
    </row>
    <row r="5710" spans="4:5" x14ac:dyDescent="0.2">
      <c r="D5710" s="148"/>
      <c r="E5710" s="154"/>
    </row>
    <row r="5711" spans="4:5" x14ac:dyDescent="0.2">
      <c r="D5711" s="148"/>
      <c r="E5711" s="154"/>
    </row>
    <row r="5712" spans="4:5" x14ac:dyDescent="0.2">
      <c r="D5712" s="148"/>
      <c r="E5712" s="154"/>
    </row>
    <row r="5713" spans="4:5" x14ac:dyDescent="0.2">
      <c r="D5713" s="148"/>
      <c r="E5713" s="154"/>
    </row>
    <row r="5714" spans="4:5" x14ac:dyDescent="0.2">
      <c r="D5714" s="148"/>
      <c r="E5714" s="154"/>
    </row>
    <row r="5715" spans="4:5" x14ac:dyDescent="0.2">
      <c r="D5715" s="148"/>
      <c r="E5715" s="154"/>
    </row>
    <row r="5716" spans="4:5" x14ac:dyDescent="0.2">
      <c r="D5716" s="148"/>
      <c r="E5716" s="154"/>
    </row>
    <row r="5717" spans="4:5" x14ac:dyDescent="0.2">
      <c r="D5717" s="148"/>
      <c r="E5717" s="154"/>
    </row>
    <row r="5718" spans="4:5" x14ac:dyDescent="0.2">
      <c r="D5718" s="148"/>
      <c r="E5718" s="154"/>
    </row>
    <row r="5719" spans="4:5" x14ac:dyDescent="0.2">
      <c r="D5719" s="148"/>
      <c r="E5719" s="154"/>
    </row>
    <row r="5720" spans="4:5" x14ac:dyDescent="0.2">
      <c r="D5720" s="148"/>
      <c r="E5720" s="154"/>
    </row>
    <row r="5721" spans="4:5" x14ac:dyDescent="0.2">
      <c r="D5721" s="148"/>
      <c r="E5721" s="154"/>
    </row>
    <row r="5722" spans="4:5" x14ac:dyDescent="0.2">
      <c r="D5722" s="148"/>
      <c r="E5722" s="154"/>
    </row>
    <row r="5723" spans="4:5" x14ac:dyDescent="0.2">
      <c r="D5723" s="148"/>
      <c r="E5723" s="154"/>
    </row>
    <row r="5724" spans="4:5" x14ac:dyDescent="0.2">
      <c r="D5724" s="148"/>
      <c r="E5724" s="154"/>
    </row>
    <row r="5725" spans="4:5" x14ac:dyDescent="0.2">
      <c r="D5725" s="148"/>
      <c r="E5725" s="154"/>
    </row>
    <row r="5726" spans="4:5" x14ac:dyDescent="0.2">
      <c r="D5726" s="148"/>
      <c r="E5726" s="154"/>
    </row>
    <row r="5727" spans="4:5" x14ac:dyDescent="0.2">
      <c r="D5727" s="148"/>
      <c r="E5727" s="154"/>
    </row>
    <row r="5728" spans="4:5" x14ac:dyDescent="0.2">
      <c r="D5728" s="148"/>
      <c r="E5728" s="154"/>
    </row>
    <row r="5729" spans="4:5" x14ac:dyDescent="0.2">
      <c r="D5729" s="148"/>
      <c r="E5729" s="154"/>
    </row>
    <row r="5730" spans="4:5" x14ac:dyDescent="0.2">
      <c r="D5730" s="148"/>
      <c r="E5730" s="154"/>
    </row>
    <row r="5731" spans="4:5" x14ac:dyDescent="0.2">
      <c r="D5731" s="148"/>
      <c r="E5731" s="154"/>
    </row>
    <row r="5732" spans="4:5" x14ac:dyDescent="0.2">
      <c r="D5732" s="148"/>
      <c r="E5732" s="154"/>
    </row>
    <row r="5733" spans="4:5" x14ac:dyDescent="0.2">
      <c r="D5733" s="148"/>
      <c r="E5733" s="154"/>
    </row>
    <row r="5734" spans="4:5" x14ac:dyDescent="0.2">
      <c r="D5734" s="148"/>
      <c r="E5734" s="154"/>
    </row>
    <row r="5735" spans="4:5" x14ac:dyDescent="0.2">
      <c r="D5735" s="148"/>
      <c r="E5735" s="154"/>
    </row>
    <row r="5736" spans="4:5" x14ac:dyDescent="0.2">
      <c r="D5736" s="148"/>
      <c r="E5736" s="154"/>
    </row>
    <row r="5737" spans="4:5" x14ac:dyDescent="0.2">
      <c r="D5737" s="148"/>
      <c r="E5737" s="154"/>
    </row>
    <row r="5738" spans="4:5" x14ac:dyDescent="0.2">
      <c r="D5738" s="148"/>
      <c r="E5738" s="154"/>
    </row>
    <row r="5739" spans="4:5" x14ac:dyDescent="0.2">
      <c r="D5739" s="148"/>
      <c r="E5739" s="154"/>
    </row>
    <row r="5740" spans="4:5" x14ac:dyDescent="0.2">
      <c r="D5740" s="148"/>
      <c r="E5740" s="154"/>
    </row>
    <row r="5741" spans="4:5" x14ac:dyDescent="0.2">
      <c r="D5741" s="148"/>
      <c r="E5741" s="154"/>
    </row>
    <row r="5742" spans="4:5" x14ac:dyDescent="0.2">
      <c r="D5742" s="148"/>
      <c r="E5742" s="154"/>
    </row>
    <row r="5743" spans="4:5" x14ac:dyDescent="0.2">
      <c r="D5743" s="148"/>
      <c r="E5743" s="154"/>
    </row>
    <row r="5744" spans="4:5" x14ac:dyDescent="0.2">
      <c r="D5744" s="148"/>
      <c r="E5744" s="154"/>
    </row>
    <row r="5745" spans="4:5" x14ac:dyDescent="0.2">
      <c r="D5745" s="148"/>
      <c r="E5745" s="154"/>
    </row>
    <row r="5746" spans="4:5" x14ac:dyDescent="0.2">
      <c r="D5746" s="148"/>
      <c r="E5746" s="154"/>
    </row>
    <row r="5747" spans="4:5" x14ac:dyDescent="0.2">
      <c r="D5747" s="148"/>
      <c r="E5747" s="154"/>
    </row>
    <row r="5748" spans="4:5" x14ac:dyDescent="0.2">
      <c r="D5748" s="148"/>
      <c r="E5748" s="154"/>
    </row>
    <row r="5749" spans="4:5" x14ac:dyDescent="0.2">
      <c r="D5749" s="148"/>
      <c r="E5749" s="154"/>
    </row>
    <row r="5750" spans="4:5" x14ac:dyDescent="0.2">
      <c r="D5750" s="148"/>
      <c r="E5750" s="154"/>
    </row>
    <row r="5751" spans="4:5" x14ac:dyDescent="0.2">
      <c r="D5751" s="148"/>
      <c r="E5751" s="154"/>
    </row>
    <row r="5752" spans="4:5" x14ac:dyDescent="0.2">
      <c r="D5752" s="148"/>
      <c r="E5752" s="154"/>
    </row>
    <row r="5753" spans="4:5" x14ac:dyDescent="0.2">
      <c r="D5753" s="148"/>
      <c r="E5753" s="154"/>
    </row>
    <row r="5754" spans="4:5" x14ac:dyDescent="0.2">
      <c r="D5754" s="148"/>
      <c r="E5754" s="154"/>
    </row>
    <row r="5755" spans="4:5" x14ac:dyDescent="0.2">
      <c r="D5755" s="148"/>
      <c r="E5755" s="154"/>
    </row>
    <row r="5756" spans="4:5" x14ac:dyDescent="0.2">
      <c r="D5756" s="148"/>
      <c r="E5756" s="154"/>
    </row>
    <row r="5757" spans="4:5" x14ac:dyDescent="0.2">
      <c r="D5757" s="148"/>
      <c r="E5757" s="154"/>
    </row>
    <row r="5758" spans="4:5" x14ac:dyDescent="0.2">
      <c r="D5758" s="148"/>
      <c r="E5758" s="154"/>
    </row>
    <row r="5759" spans="4:5" x14ac:dyDescent="0.2">
      <c r="D5759" s="148"/>
      <c r="E5759" s="154"/>
    </row>
    <row r="5760" spans="4:5" x14ac:dyDescent="0.2">
      <c r="D5760" s="148"/>
      <c r="E5760" s="154"/>
    </row>
    <row r="5761" spans="4:5" x14ac:dyDescent="0.2">
      <c r="D5761" s="148"/>
      <c r="E5761" s="154"/>
    </row>
    <row r="5762" spans="4:5" x14ac:dyDescent="0.2">
      <c r="D5762" s="148"/>
      <c r="E5762" s="154"/>
    </row>
    <row r="5763" spans="4:5" x14ac:dyDescent="0.2">
      <c r="D5763" s="148"/>
      <c r="E5763" s="154"/>
    </row>
    <row r="5764" spans="4:5" x14ac:dyDescent="0.2">
      <c r="D5764" s="148"/>
      <c r="E5764" s="154"/>
    </row>
    <row r="5765" spans="4:5" x14ac:dyDescent="0.2">
      <c r="D5765" s="148"/>
      <c r="E5765" s="154"/>
    </row>
    <row r="5766" spans="4:5" x14ac:dyDescent="0.2">
      <c r="D5766" s="148"/>
      <c r="E5766" s="154"/>
    </row>
    <row r="5767" spans="4:5" x14ac:dyDescent="0.2">
      <c r="D5767" s="148"/>
      <c r="E5767" s="154"/>
    </row>
    <row r="5768" spans="4:5" x14ac:dyDescent="0.2">
      <c r="D5768" s="148"/>
      <c r="E5768" s="154"/>
    </row>
    <row r="5769" spans="4:5" x14ac:dyDescent="0.2">
      <c r="D5769" s="148"/>
      <c r="E5769" s="154"/>
    </row>
    <row r="5770" spans="4:5" x14ac:dyDescent="0.2">
      <c r="D5770" s="148"/>
      <c r="E5770" s="154"/>
    </row>
    <row r="5771" spans="4:5" x14ac:dyDescent="0.2">
      <c r="D5771" s="148"/>
      <c r="E5771" s="154"/>
    </row>
    <row r="5772" spans="4:5" x14ac:dyDescent="0.2">
      <c r="D5772" s="148"/>
      <c r="E5772" s="154"/>
    </row>
    <row r="5773" spans="4:5" x14ac:dyDescent="0.2">
      <c r="D5773" s="148"/>
      <c r="E5773" s="154"/>
    </row>
    <row r="5774" spans="4:5" x14ac:dyDescent="0.2">
      <c r="D5774" s="148"/>
      <c r="E5774" s="154"/>
    </row>
    <row r="5775" spans="4:5" x14ac:dyDescent="0.2">
      <c r="D5775" s="148"/>
      <c r="E5775" s="154"/>
    </row>
    <row r="5776" spans="4:5" x14ac:dyDescent="0.2">
      <c r="D5776" s="148"/>
      <c r="E5776" s="154"/>
    </row>
    <row r="5777" spans="4:5" x14ac:dyDescent="0.2">
      <c r="D5777" s="148"/>
      <c r="E5777" s="154"/>
    </row>
    <row r="5778" spans="4:5" x14ac:dyDescent="0.2">
      <c r="D5778" s="148"/>
      <c r="E5778" s="154"/>
    </row>
    <row r="5779" spans="4:5" x14ac:dyDescent="0.2">
      <c r="D5779" s="148"/>
      <c r="E5779" s="154"/>
    </row>
    <row r="5780" spans="4:5" x14ac:dyDescent="0.2">
      <c r="D5780" s="148"/>
      <c r="E5780" s="154"/>
    </row>
    <row r="5781" spans="4:5" x14ac:dyDescent="0.2">
      <c r="D5781" s="148"/>
      <c r="E5781" s="154"/>
    </row>
    <row r="5782" spans="4:5" x14ac:dyDescent="0.2">
      <c r="D5782" s="148"/>
      <c r="E5782" s="154"/>
    </row>
    <row r="5783" spans="4:5" x14ac:dyDescent="0.2">
      <c r="D5783" s="148"/>
      <c r="E5783" s="154"/>
    </row>
    <row r="5784" spans="4:5" x14ac:dyDescent="0.2">
      <c r="D5784" s="148"/>
      <c r="E5784" s="154"/>
    </row>
    <row r="5785" spans="4:5" x14ac:dyDescent="0.2">
      <c r="D5785" s="148"/>
      <c r="E5785" s="154"/>
    </row>
    <row r="5786" spans="4:5" x14ac:dyDescent="0.2">
      <c r="D5786" s="148"/>
      <c r="E5786" s="154"/>
    </row>
    <row r="5787" spans="4:5" x14ac:dyDescent="0.2">
      <c r="D5787" s="148"/>
      <c r="E5787" s="154"/>
    </row>
    <row r="5788" spans="4:5" x14ac:dyDescent="0.2">
      <c r="D5788" s="148"/>
      <c r="E5788" s="154"/>
    </row>
    <row r="5789" spans="4:5" x14ac:dyDescent="0.2">
      <c r="D5789" s="148"/>
      <c r="E5789" s="154"/>
    </row>
    <row r="5790" spans="4:5" x14ac:dyDescent="0.2">
      <c r="D5790" s="148"/>
      <c r="E5790" s="154"/>
    </row>
    <row r="5791" spans="4:5" x14ac:dyDescent="0.2">
      <c r="D5791" s="148"/>
      <c r="E5791" s="154"/>
    </row>
    <row r="5792" spans="4:5" x14ac:dyDescent="0.2">
      <c r="D5792" s="148"/>
      <c r="E5792" s="154"/>
    </row>
    <row r="5793" spans="4:5" x14ac:dyDescent="0.2">
      <c r="D5793" s="148"/>
      <c r="E5793" s="154"/>
    </row>
    <row r="5794" spans="4:5" x14ac:dyDescent="0.2">
      <c r="D5794" s="148"/>
      <c r="E5794" s="154"/>
    </row>
    <row r="5795" spans="4:5" x14ac:dyDescent="0.2">
      <c r="D5795" s="148"/>
      <c r="E5795" s="154"/>
    </row>
    <row r="5796" spans="4:5" x14ac:dyDescent="0.2">
      <c r="D5796" s="148"/>
      <c r="E5796" s="154"/>
    </row>
    <row r="5797" spans="4:5" x14ac:dyDescent="0.2">
      <c r="D5797" s="148"/>
      <c r="E5797" s="154"/>
    </row>
    <row r="5798" spans="4:5" x14ac:dyDescent="0.2">
      <c r="D5798" s="148"/>
      <c r="E5798" s="154"/>
    </row>
    <row r="5799" spans="4:5" x14ac:dyDescent="0.2">
      <c r="D5799" s="148"/>
      <c r="E5799" s="154"/>
    </row>
    <row r="5800" spans="4:5" x14ac:dyDescent="0.2">
      <c r="D5800" s="148"/>
      <c r="E5800" s="154"/>
    </row>
    <row r="5801" spans="4:5" x14ac:dyDescent="0.2">
      <c r="D5801" s="148"/>
      <c r="E5801" s="154"/>
    </row>
    <row r="5802" spans="4:5" x14ac:dyDescent="0.2">
      <c r="D5802" s="148"/>
      <c r="E5802" s="154"/>
    </row>
    <row r="5803" spans="4:5" x14ac:dyDescent="0.2">
      <c r="D5803" s="148"/>
      <c r="E5803" s="154"/>
    </row>
    <row r="5804" spans="4:5" x14ac:dyDescent="0.2">
      <c r="D5804" s="148"/>
      <c r="E5804" s="154"/>
    </row>
    <row r="5805" spans="4:5" x14ac:dyDescent="0.2">
      <c r="D5805" s="148"/>
      <c r="E5805" s="154"/>
    </row>
    <row r="5806" spans="4:5" x14ac:dyDescent="0.2">
      <c r="D5806" s="148"/>
      <c r="E5806" s="154"/>
    </row>
    <row r="5807" spans="4:5" x14ac:dyDescent="0.2">
      <c r="D5807" s="148"/>
      <c r="E5807" s="154"/>
    </row>
    <row r="5808" spans="4:5" x14ac:dyDescent="0.2">
      <c r="D5808" s="148"/>
      <c r="E5808" s="154"/>
    </row>
    <row r="5809" spans="4:5" x14ac:dyDescent="0.2">
      <c r="D5809" s="148"/>
      <c r="E5809" s="154"/>
    </row>
    <row r="5810" spans="4:5" x14ac:dyDescent="0.2">
      <c r="D5810" s="148"/>
      <c r="E5810" s="154"/>
    </row>
    <row r="5811" spans="4:5" x14ac:dyDescent="0.2">
      <c r="D5811" s="148"/>
      <c r="E5811" s="154"/>
    </row>
    <row r="5812" spans="4:5" x14ac:dyDescent="0.2">
      <c r="D5812" s="148"/>
      <c r="E5812" s="154"/>
    </row>
    <row r="5813" spans="4:5" x14ac:dyDescent="0.2">
      <c r="D5813" s="148"/>
      <c r="E5813" s="154"/>
    </row>
    <row r="5814" spans="4:5" x14ac:dyDescent="0.2">
      <c r="D5814" s="148"/>
      <c r="E5814" s="154"/>
    </row>
    <row r="5815" spans="4:5" x14ac:dyDescent="0.2">
      <c r="D5815" s="148"/>
      <c r="E5815" s="154"/>
    </row>
    <row r="5816" spans="4:5" x14ac:dyDescent="0.2">
      <c r="D5816" s="148"/>
      <c r="E5816" s="154"/>
    </row>
    <row r="5817" spans="4:5" x14ac:dyDescent="0.2">
      <c r="D5817" s="148"/>
      <c r="E5817" s="154"/>
    </row>
    <row r="5818" spans="4:5" x14ac:dyDescent="0.2">
      <c r="D5818" s="148"/>
      <c r="E5818" s="154"/>
    </row>
    <row r="5819" spans="4:5" x14ac:dyDescent="0.2">
      <c r="D5819" s="148"/>
      <c r="E5819" s="154"/>
    </row>
    <row r="5820" spans="4:5" x14ac:dyDescent="0.2">
      <c r="D5820" s="148"/>
      <c r="E5820" s="154"/>
    </row>
    <row r="5821" spans="4:5" x14ac:dyDescent="0.2">
      <c r="D5821" s="148"/>
      <c r="E5821" s="154"/>
    </row>
    <row r="5822" spans="4:5" x14ac:dyDescent="0.2">
      <c r="D5822" s="148"/>
      <c r="E5822" s="154"/>
    </row>
    <row r="5823" spans="4:5" x14ac:dyDescent="0.2">
      <c r="D5823" s="148"/>
      <c r="E5823" s="154"/>
    </row>
    <row r="5824" spans="4:5" x14ac:dyDescent="0.2">
      <c r="D5824" s="148"/>
      <c r="E5824" s="154"/>
    </row>
    <row r="5825" spans="4:5" x14ac:dyDescent="0.2">
      <c r="D5825" s="148"/>
      <c r="E5825" s="154"/>
    </row>
    <row r="5826" spans="4:5" x14ac:dyDescent="0.2">
      <c r="D5826" s="148"/>
      <c r="E5826" s="154"/>
    </row>
    <row r="5827" spans="4:5" x14ac:dyDescent="0.2">
      <c r="D5827" s="148"/>
      <c r="E5827" s="154"/>
    </row>
    <row r="5828" spans="4:5" x14ac:dyDescent="0.2">
      <c r="D5828" s="148"/>
      <c r="E5828" s="154"/>
    </row>
    <row r="5829" spans="4:5" x14ac:dyDescent="0.2">
      <c r="D5829" s="148"/>
      <c r="E5829" s="154"/>
    </row>
    <row r="5830" spans="4:5" x14ac:dyDescent="0.2">
      <c r="D5830" s="148"/>
      <c r="E5830" s="154"/>
    </row>
    <row r="5831" spans="4:5" x14ac:dyDescent="0.2">
      <c r="D5831" s="148"/>
      <c r="E5831" s="154"/>
    </row>
    <row r="5832" spans="4:5" x14ac:dyDescent="0.2">
      <c r="D5832" s="148"/>
      <c r="E5832" s="154"/>
    </row>
    <row r="5833" spans="4:5" x14ac:dyDescent="0.2">
      <c r="D5833" s="148"/>
      <c r="E5833" s="154"/>
    </row>
    <row r="5834" spans="4:5" x14ac:dyDescent="0.2">
      <c r="D5834" s="148"/>
      <c r="E5834" s="154"/>
    </row>
    <row r="5835" spans="4:5" x14ac:dyDescent="0.2">
      <c r="D5835" s="148"/>
      <c r="E5835" s="154"/>
    </row>
    <row r="5836" spans="4:5" x14ac:dyDescent="0.2">
      <c r="D5836" s="148"/>
      <c r="E5836" s="154"/>
    </row>
    <row r="5837" spans="4:5" x14ac:dyDescent="0.2">
      <c r="D5837" s="148"/>
      <c r="E5837" s="154"/>
    </row>
    <row r="5838" spans="4:5" x14ac:dyDescent="0.2">
      <c r="D5838" s="148"/>
      <c r="E5838" s="154"/>
    </row>
    <row r="5839" spans="4:5" x14ac:dyDescent="0.2">
      <c r="D5839" s="148"/>
      <c r="E5839" s="154"/>
    </row>
    <row r="5840" spans="4:5" x14ac:dyDescent="0.2">
      <c r="D5840" s="148"/>
      <c r="E5840" s="154"/>
    </row>
    <row r="5841" spans="4:5" x14ac:dyDescent="0.2">
      <c r="D5841" s="148"/>
      <c r="E5841" s="154"/>
    </row>
    <row r="5842" spans="4:5" x14ac:dyDescent="0.2">
      <c r="D5842" s="148"/>
      <c r="E5842" s="154"/>
    </row>
    <row r="5843" spans="4:5" x14ac:dyDescent="0.2">
      <c r="D5843" s="148"/>
      <c r="E5843" s="154"/>
    </row>
    <row r="5844" spans="4:5" x14ac:dyDescent="0.2">
      <c r="D5844" s="148"/>
      <c r="E5844" s="154"/>
    </row>
    <row r="5845" spans="4:5" x14ac:dyDescent="0.2">
      <c r="D5845" s="148"/>
      <c r="E5845" s="154"/>
    </row>
    <row r="5846" spans="4:5" x14ac:dyDescent="0.2">
      <c r="D5846" s="148"/>
      <c r="E5846" s="154"/>
    </row>
    <row r="5847" spans="4:5" x14ac:dyDescent="0.2">
      <c r="D5847" s="148"/>
      <c r="E5847" s="154"/>
    </row>
    <row r="5848" spans="4:5" x14ac:dyDescent="0.2">
      <c r="D5848" s="148"/>
      <c r="E5848" s="154"/>
    </row>
    <row r="5849" spans="4:5" x14ac:dyDescent="0.2">
      <c r="D5849" s="148"/>
      <c r="E5849" s="154"/>
    </row>
    <row r="5850" spans="4:5" x14ac:dyDescent="0.2">
      <c r="D5850" s="148"/>
      <c r="E5850" s="154"/>
    </row>
    <row r="5851" spans="4:5" x14ac:dyDescent="0.2">
      <c r="D5851" s="148"/>
      <c r="E5851" s="154"/>
    </row>
    <row r="5852" spans="4:5" x14ac:dyDescent="0.2">
      <c r="D5852" s="148"/>
      <c r="E5852" s="154"/>
    </row>
    <row r="5853" spans="4:5" x14ac:dyDescent="0.2">
      <c r="D5853" s="148"/>
      <c r="E5853" s="154"/>
    </row>
    <row r="5854" spans="4:5" x14ac:dyDescent="0.2">
      <c r="D5854" s="148"/>
      <c r="E5854" s="154"/>
    </row>
    <row r="5855" spans="4:5" x14ac:dyDescent="0.2">
      <c r="D5855" s="148"/>
      <c r="E5855" s="154"/>
    </row>
    <row r="5856" spans="4:5" x14ac:dyDescent="0.2">
      <c r="D5856" s="148"/>
      <c r="E5856" s="154"/>
    </row>
    <row r="5857" spans="4:5" x14ac:dyDescent="0.2">
      <c r="D5857" s="148"/>
      <c r="E5857" s="154"/>
    </row>
    <row r="5858" spans="4:5" x14ac:dyDescent="0.2">
      <c r="D5858" s="148"/>
      <c r="E5858" s="154"/>
    </row>
    <row r="5859" spans="4:5" x14ac:dyDescent="0.2">
      <c r="D5859" s="148"/>
      <c r="E5859" s="154"/>
    </row>
    <row r="5860" spans="4:5" x14ac:dyDescent="0.2">
      <c r="D5860" s="148"/>
      <c r="E5860" s="154"/>
    </row>
    <row r="5861" spans="4:5" x14ac:dyDescent="0.2">
      <c r="D5861" s="148"/>
      <c r="E5861" s="154"/>
    </row>
    <row r="5862" spans="4:5" x14ac:dyDescent="0.2">
      <c r="D5862" s="148"/>
      <c r="E5862" s="154"/>
    </row>
    <row r="5863" spans="4:5" x14ac:dyDescent="0.2">
      <c r="D5863" s="148"/>
      <c r="E5863" s="154"/>
    </row>
    <row r="5864" spans="4:5" x14ac:dyDescent="0.2">
      <c r="D5864" s="148"/>
      <c r="E5864" s="154"/>
    </row>
    <row r="5865" spans="4:5" x14ac:dyDescent="0.2">
      <c r="D5865" s="148"/>
      <c r="E5865" s="154"/>
    </row>
    <row r="5866" spans="4:5" x14ac:dyDescent="0.2">
      <c r="D5866" s="148"/>
      <c r="E5866" s="154"/>
    </row>
    <row r="5867" spans="4:5" x14ac:dyDescent="0.2">
      <c r="D5867" s="148"/>
      <c r="E5867" s="154"/>
    </row>
    <row r="5868" spans="4:5" x14ac:dyDescent="0.2">
      <c r="D5868" s="148"/>
      <c r="E5868" s="154"/>
    </row>
    <row r="5869" spans="4:5" x14ac:dyDescent="0.2">
      <c r="D5869" s="148"/>
      <c r="E5869" s="154"/>
    </row>
    <row r="5870" spans="4:5" x14ac:dyDescent="0.2">
      <c r="D5870" s="148"/>
      <c r="E5870" s="154"/>
    </row>
    <row r="5871" spans="4:5" x14ac:dyDescent="0.2">
      <c r="D5871" s="148"/>
      <c r="E5871" s="154"/>
    </row>
    <row r="5872" spans="4:5" x14ac:dyDescent="0.2">
      <c r="D5872" s="148"/>
      <c r="E5872" s="154"/>
    </row>
    <row r="5873" spans="4:5" x14ac:dyDescent="0.2">
      <c r="D5873" s="148"/>
      <c r="E5873" s="154"/>
    </row>
    <row r="5874" spans="4:5" x14ac:dyDescent="0.2">
      <c r="D5874" s="148"/>
      <c r="E5874" s="154"/>
    </row>
    <row r="5875" spans="4:5" x14ac:dyDescent="0.2">
      <c r="D5875" s="148"/>
      <c r="E5875" s="154"/>
    </row>
    <row r="5876" spans="4:5" x14ac:dyDescent="0.2">
      <c r="D5876" s="148"/>
      <c r="E5876" s="154"/>
    </row>
    <row r="5877" spans="4:5" x14ac:dyDescent="0.2">
      <c r="D5877" s="148"/>
      <c r="E5877" s="154"/>
    </row>
    <row r="5878" spans="4:5" x14ac:dyDescent="0.2">
      <c r="D5878" s="148"/>
      <c r="E5878" s="154"/>
    </row>
    <row r="5879" spans="4:5" x14ac:dyDescent="0.2">
      <c r="D5879" s="148"/>
      <c r="E5879" s="154"/>
    </row>
    <row r="5880" spans="4:5" x14ac:dyDescent="0.2">
      <c r="D5880" s="148"/>
      <c r="E5880" s="154"/>
    </row>
    <row r="5881" spans="4:5" x14ac:dyDescent="0.2">
      <c r="D5881" s="148"/>
      <c r="E5881" s="154"/>
    </row>
    <row r="5882" spans="4:5" x14ac:dyDescent="0.2">
      <c r="D5882" s="148"/>
      <c r="E5882" s="154"/>
    </row>
    <row r="5883" spans="4:5" x14ac:dyDescent="0.2">
      <c r="D5883" s="148"/>
      <c r="E5883" s="154"/>
    </row>
    <row r="5884" spans="4:5" x14ac:dyDescent="0.2">
      <c r="D5884" s="148"/>
      <c r="E5884" s="154"/>
    </row>
    <row r="5885" spans="4:5" x14ac:dyDescent="0.2">
      <c r="D5885" s="148"/>
      <c r="E5885" s="154"/>
    </row>
    <row r="5886" spans="4:5" x14ac:dyDescent="0.2">
      <c r="D5886" s="148"/>
      <c r="E5886" s="154"/>
    </row>
    <row r="5887" spans="4:5" x14ac:dyDescent="0.2">
      <c r="D5887" s="148"/>
      <c r="E5887" s="154"/>
    </row>
    <row r="5888" spans="4:5" x14ac:dyDescent="0.2">
      <c r="D5888" s="148"/>
      <c r="E5888" s="154"/>
    </row>
    <row r="5889" spans="4:5" x14ac:dyDescent="0.2">
      <c r="D5889" s="148"/>
      <c r="E5889" s="154"/>
    </row>
    <row r="5890" spans="4:5" x14ac:dyDescent="0.2">
      <c r="D5890" s="148"/>
      <c r="E5890" s="154"/>
    </row>
    <row r="5891" spans="4:5" x14ac:dyDescent="0.2">
      <c r="D5891" s="148"/>
      <c r="E5891" s="154"/>
    </row>
    <row r="5892" spans="4:5" x14ac:dyDescent="0.2">
      <c r="D5892" s="148"/>
      <c r="E5892" s="154"/>
    </row>
    <row r="5893" spans="4:5" x14ac:dyDescent="0.2">
      <c r="D5893" s="148"/>
      <c r="E5893" s="154"/>
    </row>
    <row r="5894" spans="4:5" x14ac:dyDescent="0.2">
      <c r="D5894" s="148"/>
      <c r="E5894" s="154"/>
    </row>
    <row r="5895" spans="4:5" x14ac:dyDescent="0.2">
      <c r="D5895" s="148"/>
      <c r="E5895" s="154"/>
    </row>
    <row r="5896" spans="4:5" x14ac:dyDescent="0.2">
      <c r="D5896" s="148"/>
      <c r="E5896" s="154"/>
    </row>
    <row r="5897" spans="4:5" x14ac:dyDescent="0.2">
      <c r="D5897" s="148"/>
      <c r="E5897" s="154"/>
    </row>
    <row r="5898" spans="4:5" x14ac:dyDescent="0.2">
      <c r="D5898" s="148"/>
      <c r="E5898" s="154"/>
    </row>
    <row r="5899" spans="4:5" x14ac:dyDescent="0.2">
      <c r="D5899" s="148"/>
      <c r="E5899" s="154"/>
    </row>
    <row r="5900" spans="4:5" x14ac:dyDescent="0.2">
      <c r="D5900" s="148"/>
      <c r="E5900" s="154"/>
    </row>
    <row r="5901" spans="4:5" x14ac:dyDescent="0.2">
      <c r="D5901" s="148"/>
      <c r="E5901" s="154"/>
    </row>
    <row r="5902" spans="4:5" x14ac:dyDescent="0.2">
      <c r="D5902" s="148"/>
      <c r="E5902" s="154"/>
    </row>
    <row r="5903" spans="4:5" x14ac:dyDescent="0.2">
      <c r="D5903" s="148"/>
      <c r="E5903" s="154"/>
    </row>
    <row r="5904" spans="4:5" x14ac:dyDescent="0.2">
      <c r="D5904" s="148"/>
      <c r="E5904" s="154"/>
    </row>
    <row r="5905" spans="4:5" x14ac:dyDescent="0.2">
      <c r="D5905" s="148"/>
      <c r="E5905" s="154"/>
    </row>
    <row r="5906" spans="4:5" x14ac:dyDescent="0.2">
      <c r="D5906" s="148"/>
      <c r="E5906" s="154"/>
    </row>
    <row r="5907" spans="4:5" x14ac:dyDescent="0.2">
      <c r="D5907" s="148"/>
      <c r="E5907" s="154"/>
    </row>
    <row r="5908" spans="4:5" x14ac:dyDescent="0.2">
      <c r="D5908" s="148"/>
      <c r="E5908" s="154"/>
    </row>
    <row r="5909" spans="4:5" x14ac:dyDescent="0.2">
      <c r="D5909" s="148"/>
      <c r="E5909" s="154"/>
    </row>
    <row r="5910" spans="4:5" x14ac:dyDescent="0.2">
      <c r="D5910" s="148"/>
      <c r="E5910" s="154"/>
    </row>
    <row r="5911" spans="4:5" x14ac:dyDescent="0.2">
      <c r="D5911" s="148"/>
      <c r="E5911" s="154"/>
    </row>
    <row r="5912" spans="4:5" x14ac:dyDescent="0.2">
      <c r="D5912" s="148"/>
      <c r="E5912" s="154"/>
    </row>
    <row r="5913" spans="4:5" x14ac:dyDescent="0.2">
      <c r="D5913" s="148"/>
      <c r="E5913" s="154"/>
    </row>
    <row r="5914" spans="4:5" x14ac:dyDescent="0.2">
      <c r="D5914" s="148"/>
      <c r="E5914" s="154"/>
    </row>
    <row r="5915" spans="4:5" x14ac:dyDescent="0.2">
      <c r="D5915" s="148"/>
      <c r="E5915" s="154"/>
    </row>
    <row r="5916" spans="4:5" x14ac:dyDescent="0.2">
      <c r="D5916" s="148"/>
      <c r="E5916" s="154"/>
    </row>
    <row r="5917" spans="4:5" x14ac:dyDescent="0.2">
      <c r="D5917" s="148"/>
      <c r="E5917" s="154"/>
    </row>
    <row r="5918" spans="4:5" x14ac:dyDescent="0.2">
      <c r="D5918" s="148"/>
      <c r="E5918" s="154"/>
    </row>
    <row r="5919" spans="4:5" x14ac:dyDescent="0.2">
      <c r="D5919" s="148"/>
      <c r="E5919" s="154"/>
    </row>
    <row r="5920" spans="4:5" x14ac:dyDescent="0.2">
      <c r="D5920" s="148"/>
      <c r="E5920" s="154"/>
    </row>
    <row r="5921" spans="4:5" x14ac:dyDescent="0.2">
      <c r="D5921" s="148"/>
      <c r="E5921" s="154"/>
    </row>
    <row r="5922" spans="4:5" x14ac:dyDescent="0.2">
      <c r="D5922" s="148"/>
      <c r="E5922" s="154"/>
    </row>
    <row r="5923" spans="4:5" x14ac:dyDescent="0.2">
      <c r="D5923" s="148"/>
      <c r="E5923" s="154"/>
    </row>
    <row r="5924" spans="4:5" x14ac:dyDescent="0.2">
      <c r="D5924" s="148"/>
      <c r="E5924" s="154"/>
    </row>
    <row r="5925" spans="4:5" x14ac:dyDescent="0.2">
      <c r="D5925" s="148"/>
      <c r="E5925" s="154"/>
    </row>
    <row r="5926" spans="4:5" x14ac:dyDescent="0.2">
      <c r="D5926" s="148"/>
      <c r="E5926" s="154"/>
    </row>
    <row r="5927" spans="4:5" x14ac:dyDescent="0.2">
      <c r="D5927" s="148"/>
      <c r="E5927" s="154"/>
    </row>
    <row r="5928" spans="4:5" x14ac:dyDescent="0.2">
      <c r="D5928" s="148"/>
      <c r="E5928" s="154"/>
    </row>
    <row r="5929" spans="4:5" x14ac:dyDescent="0.2">
      <c r="D5929" s="148"/>
      <c r="E5929" s="154"/>
    </row>
    <row r="5930" spans="4:5" x14ac:dyDescent="0.2">
      <c r="D5930" s="148"/>
      <c r="E5930" s="154"/>
    </row>
    <row r="5931" spans="4:5" x14ac:dyDescent="0.2">
      <c r="D5931" s="148"/>
      <c r="E5931" s="154"/>
    </row>
    <row r="5932" spans="4:5" x14ac:dyDescent="0.2">
      <c r="D5932" s="148"/>
      <c r="E5932" s="154"/>
    </row>
    <row r="5933" spans="4:5" x14ac:dyDescent="0.2">
      <c r="D5933" s="148"/>
      <c r="E5933" s="154"/>
    </row>
    <row r="5934" spans="4:5" x14ac:dyDescent="0.2">
      <c r="D5934" s="148"/>
      <c r="E5934" s="154"/>
    </row>
    <row r="5935" spans="4:5" x14ac:dyDescent="0.2">
      <c r="D5935" s="148"/>
      <c r="E5935" s="154"/>
    </row>
    <row r="5936" spans="4:5" x14ac:dyDescent="0.2">
      <c r="D5936" s="148"/>
      <c r="E5936" s="154"/>
    </row>
    <row r="5937" spans="4:5" x14ac:dyDescent="0.2">
      <c r="D5937" s="148"/>
      <c r="E5937" s="154"/>
    </row>
    <row r="5938" spans="4:5" x14ac:dyDescent="0.2">
      <c r="D5938" s="148"/>
      <c r="E5938" s="154"/>
    </row>
    <row r="5939" spans="4:5" x14ac:dyDescent="0.2">
      <c r="D5939" s="148"/>
      <c r="E5939" s="154"/>
    </row>
    <row r="5940" spans="4:5" x14ac:dyDescent="0.2">
      <c r="D5940" s="148"/>
      <c r="E5940" s="154"/>
    </row>
    <row r="5941" spans="4:5" x14ac:dyDescent="0.2">
      <c r="D5941" s="148"/>
      <c r="E5941" s="154"/>
    </row>
    <row r="5942" spans="4:5" x14ac:dyDescent="0.2">
      <c r="D5942" s="148"/>
      <c r="E5942" s="154"/>
    </row>
    <row r="5943" spans="4:5" x14ac:dyDescent="0.2">
      <c r="D5943" s="148"/>
      <c r="E5943" s="154"/>
    </row>
    <row r="5944" spans="4:5" x14ac:dyDescent="0.2">
      <c r="D5944" s="148"/>
      <c r="E5944" s="154"/>
    </row>
    <row r="5945" spans="4:5" x14ac:dyDescent="0.2">
      <c r="D5945" s="148"/>
      <c r="E5945" s="154"/>
    </row>
    <row r="5946" spans="4:5" x14ac:dyDescent="0.2">
      <c r="D5946" s="148"/>
      <c r="E5946" s="154"/>
    </row>
    <row r="5947" spans="4:5" x14ac:dyDescent="0.2">
      <c r="D5947" s="148"/>
      <c r="E5947" s="154"/>
    </row>
    <row r="5948" spans="4:5" x14ac:dyDescent="0.2">
      <c r="D5948" s="148"/>
      <c r="E5948" s="154"/>
    </row>
    <row r="5949" spans="4:5" x14ac:dyDescent="0.2">
      <c r="D5949" s="148"/>
      <c r="E5949" s="154"/>
    </row>
    <row r="5950" spans="4:5" x14ac:dyDescent="0.2">
      <c r="D5950" s="148"/>
      <c r="E5950" s="154"/>
    </row>
    <row r="5951" spans="4:5" x14ac:dyDescent="0.2">
      <c r="D5951" s="148"/>
      <c r="E5951" s="154"/>
    </row>
    <row r="5952" spans="4:5" x14ac:dyDescent="0.2">
      <c r="D5952" s="148"/>
      <c r="E5952" s="154"/>
    </row>
    <row r="5953" spans="4:5" x14ac:dyDescent="0.2">
      <c r="D5953" s="148"/>
      <c r="E5953" s="154"/>
    </row>
    <row r="5954" spans="4:5" x14ac:dyDescent="0.2">
      <c r="D5954" s="148"/>
      <c r="E5954" s="154"/>
    </row>
    <row r="5955" spans="4:5" x14ac:dyDescent="0.2">
      <c r="D5955" s="148"/>
      <c r="E5955" s="154"/>
    </row>
    <row r="5956" spans="4:5" x14ac:dyDescent="0.2">
      <c r="D5956" s="148"/>
      <c r="E5956" s="154"/>
    </row>
    <row r="5957" spans="4:5" x14ac:dyDescent="0.2">
      <c r="D5957" s="148"/>
      <c r="E5957" s="154"/>
    </row>
    <row r="5958" spans="4:5" x14ac:dyDescent="0.2">
      <c r="D5958" s="148"/>
      <c r="E5958" s="154"/>
    </row>
    <row r="5959" spans="4:5" x14ac:dyDescent="0.2">
      <c r="D5959" s="148"/>
      <c r="E5959" s="154"/>
    </row>
    <row r="5960" spans="4:5" x14ac:dyDescent="0.2">
      <c r="D5960" s="148"/>
      <c r="E5960" s="154"/>
    </row>
    <row r="5961" spans="4:5" x14ac:dyDescent="0.2">
      <c r="D5961" s="148"/>
      <c r="E5961" s="154"/>
    </row>
    <row r="5962" spans="4:5" x14ac:dyDescent="0.2">
      <c r="D5962" s="148"/>
      <c r="E5962" s="154"/>
    </row>
    <row r="5963" spans="4:5" x14ac:dyDescent="0.2">
      <c r="D5963" s="148"/>
      <c r="E5963" s="154"/>
    </row>
    <row r="5964" spans="4:5" x14ac:dyDescent="0.2">
      <c r="D5964" s="148"/>
      <c r="E5964" s="154"/>
    </row>
    <row r="5965" spans="4:5" x14ac:dyDescent="0.2">
      <c r="D5965" s="148"/>
      <c r="E5965" s="154"/>
    </row>
    <row r="5966" spans="4:5" x14ac:dyDescent="0.2">
      <c r="D5966" s="148"/>
      <c r="E5966" s="154"/>
    </row>
    <row r="5967" spans="4:5" x14ac:dyDescent="0.2">
      <c r="D5967" s="148"/>
      <c r="E5967" s="154"/>
    </row>
    <row r="5968" spans="4:5" x14ac:dyDescent="0.2">
      <c r="D5968" s="148"/>
      <c r="E5968" s="154"/>
    </row>
    <row r="5969" spans="4:5" x14ac:dyDescent="0.2">
      <c r="D5969" s="148"/>
      <c r="E5969" s="154"/>
    </row>
    <row r="5970" spans="4:5" x14ac:dyDescent="0.2">
      <c r="D5970" s="148"/>
      <c r="E5970" s="154"/>
    </row>
    <row r="5971" spans="4:5" x14ac:dyDescent="0.2">
      <c r="D5971" s="148"/>
      <c r="E5971" s="154"/>
    </row>
    <row r="5972" spans="4:5" x14ac:dyDescent="0.2">
      <c r="D5972" s="148"/>
      <c r="E5972" s="154"/>
    </row>
    <row r="5973" spans="4:5" x14ac:dyDescent="0.2">
      <c r="D5973" s="148"/>
      <c r="E5973" s="154"/>
    </row>
    <row r="5974" spans="4:5" x14ac:dyDescent="0.2">
      <c r="D5974" s="148"/>
      <c r="E5974" s="154"/>
    </row>
    <row r="5975" spans="4:5" x14ac:dyDescent="0.2">
      <c r="D5975" s="148"/>
      <c r="E5975" s="154"/>
    </row>
    <row r="5976" spans="4:5" x14ac:dyDescent="0.2">
      <c r="D5976" s="148"/>
      <c r="E5976" s="154"/>
    </row>
    <row r="5977" spans="4:5" x14ac:dyDescent="0.2">
      <c r="D5977" s="148"/>
      <c r="E5977" s="154"/>
    </row>
    <row r="5978" spans="4:5" x14ac:dyDescent="0.2">
      <c r="D5978" s="148"/>
      <c r="E5978" s="154"/>
    </row>
    <row r="5979" spans="4:5" x14ac:dyDescent="0.2">
      <c r="D5979" s="148"/>
      <c r="E5979" s="154"/>
    </row>
    <row r="5980" spans="4:5" x14ac:dyDescent="0.2">
      <c r="D5980" s="148"/>
      <c r="E5980" s="154"/>
    </row>
    <row r="5981" spans="4:5" x14ac:dyDescent="0.2">
      <c r="D5981" s="148"/>
      <c r="E5981" s="154"/>
    </row>
    <row r="5982" spans="4:5" x14ac:dyDescent="0.2">
      <c r="D5982" s="148"/>
      <c r="E5982" s="154"/>
    </row>
    <row r="5983" spans="4:5" x14ac:dyDescent="0.2">
      <c r="D5983" s="148"/>
      <c r="E5983" s="154"/>
    </row>
    <row r="5984" spans="4:5" x14ac:dyDescent="0.2">
      <c r="D5984" s="148"/>
      <c r="E5984" s="154"/>
    </row>
    <row r="5985" spans="4:5" x14ac:dyDescent="0.2">
      <c r="D5985" s="148"/>
      <c r="E5985" s="154"/>
    </row>
    <row r="5986" spans="4:5" x14ac:dyDescent="0.2">
      <c r="D5986" s="148"/>
      <c r="E5986" s="154"/>
    </row>
    <row r="5987" spans="4:5" x14ac:dyDescent="0.2">
      <c r="D5987" s="148"/>
      <c r="E5987" s="154"/>
    </row>
    <row r="5988" spans="4:5" x14ac:dyDescent="0.2">
      <c r="D5988" s="148"/>
      <c r="E5988" s="154"/>
    </row>
    <row r="5989" spans="4:5" x14ac:dyDescent="0.2">
      <c r="D5989" s="148"/>
      <c r="E5989" s="154"/>
    </row>
    <row r="5990" spans="4:5" x14ac:dyDescent="0.2">
      <c r="D5990" s="148"/>
      <c r="E5990" s="154"/>
    </row>
    <row r="5991" spans="4:5" x14ac:dyDescent="0.2">
      <c r="D5991" s="148"/>
      <c r="E5991" s="154"/>
    </row>
    <row r="5992" spans="4:5" x14ac:dyDescent="0.2">
      <c r="D5992" s="148"/>
      <c r="E5992" s="154"/>
    </row>
    <row r="5993" spans="4:5" x14ac:dyDescent="0.2">
      <c r="D5993" s="148"/>
      <c r="E5993" s="154"/>
    </row>
    <row r="5994" spans="4:5" x14ac:dyDescent="0.2">
      <c r="D5994" s="148"/>
      <c r="E5994" s="154"/>
    </row>
    <row r="5995" spans="4:5" x14ac:dyDescent="0.2">
      <c r="D5995" s="148"/>
      <c r="E5995" s="154"/>
    </row>
    <row r="5996" spans="4:5" x14ac:dyDescent="0.2">
      <c r="D5996" s="148"/>
      <c r="E5996" s="154"/>
    </row>
    <row r="5997" spans="4:5" x14ac:dyDescent="0.2">
      <c r="D5997" s="148"/>
      <c r="E5997" s="154"/>
    </row>
    <row r="5998" spans="4:5" x14ac:dyDescent="0.2">
      <c r="D5998" s="148"/>
      <c r="E5998" s="154"/>
    </row>
    <row r="5999" spans="4:5" x14ac:dyDescent="0.2">
      <c r="D5999" s="148"/>
      <c r="E5999" s="154"/>
    </row>
    <row r="6000" spans="4:5" x14ac:dyDescent="0.2">
      <c r="D6000" s="148"/>
      <c r="E6000" s="154"/>
    </row>
    <row r="6001" spans="4:5" x14ac:dyDescent="0.2">
      <c r="D6001" s="148"/>
      <c r="E6001" s="154"/>
    </row>
    <row r="6002" spans="4:5" x14ac:dyDescent="0.2">
      <c r="D6002" s="148"/>
      <c r="E6002" s="154"/>
    </row>
    <row r="6003" spans="4:5" x14ac:dyDescent="0.2">
      <c r="D6003" s="148"/>
      <c r="E6003" s="154"/>
    </row>
    <row r="6004" spans="4:5" ht="17" thickBot="1" x14ac:dyDescent="0.25">
      <c r="D6004" s="149"/>
      <c r="E6004" s="155"/>
    </row>
  </sheetData>
  <mergeCells count="2">
    <mergeCell ref="O14:T14"/>
    <mergeCell ref="O7:T7"/>
  </mergeCells>
  <hyperlinks>
    <hyperlink ref="E15" location="'Robin Energy LTD (RBNE)'!A1" display="ROBIN ENERGY" xr:uid="{97C3E223-481C-458F-802E-1B7AA124EF8F}"/>
    <hyperlink ref="E14" location="'Apple Inc (AAPL)'!A1" display="APPLE" xr:uid="{664630F6-EFDA-4CFC-ABA3-32BB103EC7E8}"/>
    <hyperlink ref="E13" location="'AppLovin (APP)'!A1" display="APP" xr:uid="{DD2A5B0A-7597-4A7E-83F7-F560A42EDC94}"/>
    <hyperlink ref="E12" location="'WolfSpeed (WOLF)'!A1" display="WOLF" xr:uid="{023AAC42-D09A-4597-8196-C5D64FE2F31C}"/>
    <hyperlink ref="E11" location="'OppFi Inc (OPFI)'!A1" display="OPFI" xr:uid="{A40D8ADF-0B96-4662-8FDA-9D7AE426C8A5}"/>
    <hyperlink ref="E10" location="'Agilon Health Inc (AGL)'!A1" display="AGL" xr:uid="{832C0749-A97D-4CBE-A789-1CAAA6932BB4}"/>
    <hyperlink ref="E9" location="'NVIDIA (NVDA)'!A1" display="NVDA" xr:uid="{0586209A-CC86-4330-B053-CFDA68DBBC10}"/>
    <hyperlink ref="E8" location="'PALANTIR (PLTR)'!A1" display="PLTR" xr:uid="{F35ABDCD-4A89-4986-8C43-70957B2F610B}"/>
    <hyperlink ref="E7" location="'PepsiCO (PEP) '!A1" display="PEP" xr:uid="{B02DB059-FDFB-44A3-AC90-0DBCF2FFD9B3}"/>
    <hyperlink ref="E6" location="'AMD (AMD)'!A1" display="AMD" xr:uid="{F42DFCD8-1DDC-4EFB-AD8A-251197F30CC8}"/>
    <hyperlink ref="E5" location="'Boeing (BA)'!A1" display="BA" xr:uid="{37561F0D-ECF8-4933-98E7-DDB105675992}"/>
    <hyperlink ref="E16" location="'Google Class C (GOOG)'!A1" display="GOOG" xr:uid="{AEBDDCC3-4C8E-4893-A9FC-84C85002010D}"/>
    <hyperlink ref="E17" location="'MicroStrategy Inc (MSTR)'!A1" display="MSTR" xr:uid="{0E248A0E-DA94-4ACA-A7F1-E4DA3377F14F}"/>
    <hyperlink ref="E18" location="'Hims Hers Health Inc (HIMS)'!A1" display="HIMS" xr:uid="{BFC04BB3-0935-4307-8732-ABB47EE3EB44}"/>
    <hyperlink ref="E19" location="'CrowdStrike Holdings Inc (CRWD)'!A1" display="CRWD" xr:uid="{532794F1-25B6-4ED9-A3FE-CC725E327FA6}"/>
    <hyperlink ref="E20" location="'RH (RH)'!A1" display="RH" xr:uid="{C530363C-CF8C-490C-A2F7-A0EBFA07522A}"/>
    <hyperlink ref="E21" location="'Salesforce (CRM)'!A1" display="CRM" xr:uid="{CA54CE3B-58A9-4215-85E6-6AD83A722EF0}"/>
    <hyperlink ref="E22" location="'Walmart (WMT)'!A1" display="WMT" xr:uid="{18CE15B1-C371-4ACC-9DC1-0855D5005859}"/>
    <hyperlink ref="E23" location="'Quantum Computing Inc (QUBT)'!A1" display="QUBT" xr:uid="{CCC1A5A9-131A-4F49-A22B-3B481D7BDA13}"/>
    <hyperlink ref="E24" location="'SoundHound AI Inc (SOUN)'!A1" display="SOUN" xr:uid="{D3EE5980-DC93-40E6-AACC-BF0D956C3E23}"/>
    <hyperlink ref="E25" location="'NASDAQ (2)'!A1" display="SMCI" xr:uid="{C2264987-9726-4294-9D74-957732646979}"/>
    <hyperlink ref="E26" location="'Symbotic (SYM)'!A1" display="SYM" xr:uid="{2C27BD0A-7E6E-462D-A4E4-74F296FB47A6}"/>
    <hyperlink ref="E27" location="'Marathon Digital H. Inc. (MARA)'!A1" display="MARA" xr:uid="{0378E82D-F8CC-4070-853D-ED1C7DAC41B7}"/>
    <hyperlink ref="E28" location="'Micron Technology Inc (MU)'!A1" display="MU" xr:uid="{CB65C6FB-E47E-482B-88EF-71DCCA7EDFDB}"/>
    <hyperlink ref="E29" location="'SoFi Technologies (SOFI)'!A1" display="SOFI" xr:uid="{7047EA9C-E20A-492C-B7A2-A3523E439ECE}"/>
    <hyperlink ref="E30" location="'Lennar Corporation (LEN)'!A1" display="LEN" xr:uid="{887A7FF8-677E-4BF0-AD7B-7CD2596A47C1}"/>
    <hyperlink ref="E31" location="'John Wiley &amp; Sons (WLY)'!A1" display="WLY" xr:uid="{41026505-E231-4061-8124-E6F110CB9948}"/>
    <hyperlink ref="E32" location="'NYSE (2)'!A1" display="JBL" xr:uid="{25378DED-BD78-42C2-A3DB-45A30EC13C71}"/>
    <hyperlink ref="E33" location="'GMS Inc (GMS)'!A1" display="GMS" xr:uid="{21E8D09E-61C0-45F7-9B23-19ADF1896AD4}"/>
    <hyperlink ref="E34" location="'Alibaba Group (BABA)'!A1" display="BABA" xr:uid="{667CBDEA-FBFD-4048-8A8B-BFECB32CA8A0}"/>
    <hyperlink ref="E35" location="'Oracle (ORCL)'!A1" display="ORCL" xr:uid="{E2202BDE-3DCE-6443-BDD9-A9B18DA9C867}"/>
    <hyperlink ref="E36" location="'Microsoft (MSFT)'!A1" display="MSFT " xr:uid="{18610139-84B7-554E-BE67-914A0BB6B9BA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Button 3">
              <controlPr defaultSize="0" print="0" autoFill="0" autoPict="0" macro="[0]!NASDAQ">
                <anchor moveWithCells="1" sizeWithCells="1">
                  <from>
                    <xdr:col>13</xdr:col>
                    <xdr:colOff>266700</xdr:colOff>
                    <xdr:row>7</xdr:row>
                    <xdr:rowOff>63500</xdr:rowOff>
                  </from>
                  <to>
                    <xdr:col>16</xdr:col>
                    <xdr:colOff>393700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" name="Button 4">
              <controlPr defaultSize="0" print="0" autoFill="0" autoPict="0" macro="[0]!NYSE">
                <anchor moveWithCells="1" sizeWithCells="1">
                  <from>
                    <xdr:col>17</xdr:col>
                    <xdr:colOff>266700</xdr:colOff>
                    <xdr:row>7</xdr:row>
                    <xdr:rowOff>63500</xdr:rowOff>
                  </from>
                  <to>
                    <xdr:col>20</xdr:col>
                    <xdr:colOff>393700</xdr:colOff>
                    <xdr:row>12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91B3A-D4FC-479D-8883-7B687F3E293A}">
  <sheetPr codeName="Sheet16"/>
  <dimension ref="B2:R45"/>
  <sheetViews>
    <sheetView zoomScale="85" zoomScaleNormal="85" workbookViewId="0">
      <selection activeCell="J19" sqref="J19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123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122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NVDA</v>
      </c>
      <c r="R5" s="8"/>
    </row>
    <row r="6" spans="2:18" x14ac:dyDescent="0.2">
      <c r="B6" s="1" t="s">
        <v>4</v>
      </c>
      <c r="C6" s="1" t="s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NYSE</v>
      </c>
      <c r="R6" s="8"/>
    </row>
    <row r="7" spans="2:18" x14ac:dyDescent="0.2">
      <c r="B7" s="1" t="s">
        <v>7</v>
      </c>
      <c r="C7" s="13">
        <v>45821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141.97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46.27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-14.63</v>
      </c>
      <c r="R11" s="31">
        <f>IF(Q10&gt;Q11,0,1)</f>
        <v>0</v>
      </c>
    </row>
    <row r="12" spans="2:18" x14ac:dyDescent="0.2">
      <c r="B12" s="1" t="s">
        <v>26</v>
      </c>
      <c r="C12" s="32">
        <f>Q23</f>
        <v>2.12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0.96</v>
      </c>
      <c r="R12" s="25"/>
    </row>
    <row r="13" spans="2:18" x14ac:dyDescent="0.2">
      <c r="B13" s="1" t="s">
        <v>30</v>
      </c>
      <c r="C13" s="26">
        <f>G43</f>
        <v>5.2414455434450141E-2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0.93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0.1518186455210343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1.84</v>
      </c>
      <c r="R14" s="31"/>
    </row>
    <row r="15" spans="2:18" ht="19" x14ac:dyDescent="0.25">
      <c r="B15" s="1" t="s">
        <v>36</v>
      </c>
      <c r="C15" s="39">
        <f>C10*(1+C14)</f>
        <v>163.52369310462126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f>IF(Q15="Sell",0,1)</f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-0.12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62.92</v>
      </c>
      <c r="R17" s="42">
        <f>IF(Q16&lt;Q17,0,1)</f>
        <v>0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NVIDIA</v>
      </c>
      <c r="J18" s="34" t="s">
        <v>45</v>
      </c>
      <c r="K18" s="34" t="str">
        <f>_xlfn.CONCAT("Precio ",C6)</f>
        <v>Precio NYSE</v>
      </c>
      <c r="L18" s="34" t="s">
        <v>46</v>
      </c>
      <c r="M18" s="1"/>
      <c r="N18" s="21"/>
      <c r="O18" s="22"/>
      <c r="P18" s="23" t="s">
        <v>47</v>
      </c>
      <c r="Q18" s="137">
        <f>C14</f>
        <v>0.1518186455210343</v>
      </c>
      <c r="R18" s="25"/>
    </row>
    <row r="19" spans="2:18" x14ac:dyDescent="0.2">
      <c r="B19" s="46">
        <v>45108</v>
      </c>
      <c r="C19">
        <v>49.35</v>
      </c>
      <c r="D19" s="47">
        <v>5.2699999999999997E-2</v>
      </c>
      <c r="E19" s="1"/>
      <c r="F19" s="1"/>
      <c r="G19" s="1"/>
      <c r="H19" s="1"/>
      <c r="I19" s="8">
        <f>C19</f>
        <v>49.35</v>
      </c>
      <c r="J19" s="8"/>
      <c r="K19" s="48">
        <v>16000.4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43.5</v>
      </c>
      <c r="D20" s="47">
        <v>5.28E-2</v>
      </c>
      <c r="E20" s="52">
        <f>C20/C19-1</f>
        <v>-0.1185410334346505</v>
      </c>
      <c r="F20" s="53">
        <f>D20/365*28</f>
        <v>4.0504109589041097E-3</v>
      </c>
      <c r="G20" s="51">
        <f>E20-F20</f>
        <v>-0.12259144439355461</v>
      </c>
      <c r="H20" s="1"/>
      <c r="I20" s="8">
        <f t="shared" ref="I20:I41" si="0">C20</f>
        <v>43.5</v>
      </c>
      <c r="J20" s="52">
        <f>I20/I19-1</f>
        <v>-0.1185410334346505</v>
      </c>
      <c r="K20" s="48">
        <v>15398.2</v>
      </c>
      <c r="L20" s="52">
        <f>K20/K19-1</f>
        <v>-3.7636559086022814E-2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40.78</v>
      </c>
      <c r="D21" s="47">
        <v>5.2900000000000003E-2</v>
      </c>
      <c r="E21" s="52">
        <f t="shared" ref="E21:E41" si="1">C21/C20-1</f>
        <v>-6.2528735632183863E-2</v>
      </c>
      <c r="F21" s="53">
        <f t="shared" ref="F21:F41" si="2">D21/365*28</f>
        <v>4.0580821917808214E-3</v>
      </c>
      <c r="G21" s="51">
        <f t="shared" ref="G21:G41" si="3">E21-F21</f>
        <v>-6.6586817823964681E-2</v>
      </c>
      <c r="H21" s="1"/>
      <c r="I21" s="8">
        <f t="shared" si="0"/>
        <v>40.78</v>
      </c>
      <c r="J21" s="52">
        <f t="shared" ref="J21:J41" si="4">I21/I20-1</f>
        <v>-6.2528735632183863E-2</v>
      </c>
      <c r="K21" s="48">
        <v>14919.2</v>
      </c>
      <c r="L21" s="52">
        <f t="shared" ref="L21:L41" si="5">K21/K20-1</f>
        <v>-3.1107532049200581E-2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46.77</v>
      </c>
      <c r="D22" s="47">
        <v>5.2900000000000003E-2</v>
      </c>
      <c r="E22" s="52">
        <f t="shared" si="1"/>
        <v>0.14688572829818547</v>
      </c>
      <c r="F22" s="53">
        <f t="shared" si="2"/>
        <v>4.0580821917808214E-3</v>
      </c>
      <c r="G22" s="51">
        <f t="shared" si="3"/>
        <v>0.14282764610640464</v>
      </c>
      <c r="H22" s="1"/>
      <c r="I22" s="8">
        <f t="shared" si="0"/>
        <v>46.77</v>
      </c>
      <c r="J22" s="52">
        <f t="shared" si="4"/>
        <v>0.14688572829818547</v>
      </c>
      <c r="K22" s="48">
        <v>16088.8</v>
      </c>
      <c r="L22" s="52">
        <f t="shared" si="5"/>
        <v>7.8395624430264155E-2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C23">
        <v>49.52</v>
      </c>
      <c r="D23" s="47">
        <v>5.2900000000000003E-2</v>
      </c>
      <c r="E23" s="52">
        <f t="shared" si="1"/>
        <v>5.8798375026726468E-2</v>
      </c>
      <c r="F23" s="53">
        <f t="shared" si="2"/>
        <v>4.0580821917808214E-3</v>
      </c>
      <c r="G23" s="51">
        <f t="shared" si="3"/>
        <v>5.474029283494565E-2</v>
      </c>
      <c r="H23" s="1"/>
      <c r="I23" s="8">
        <f t="shared" si="0"/>
        <v>49.52</v>
      </c>
      <c r="J23" s="52">
        <f t="shared" si="4"/>
        <v>5.8798375026726468E-2</v>
      </c>
      <c r="K23" s="48">
        <v>16852.900000000001</v>
      </c>
      <c r="L23" s="52">
        <f t="shared" si="5"/>
        <v>4.7492665705335613E-2</v>
      </c>
      <c r="M23" s="1"/>
      <c r="N23" s="57" t="s">
        <v>51</v>
      </c>
      <c r="O23" s="58" t="s">
        <v>52</v>
      </c>
      <c r="P23" s="59" t="s">
        <v>44</v>
      </c>
      <c r="Q23" s="128">
        <v>2.12</v>
      </c>
      <c r="R23" s="61">
        <f>IF(Q23&gt;1.1,0,1)</f>
        <v>0</v>
      </c>
    </row>
    <row r="24" spans="2:18" x14ac:dyDescent="0.2">
      <c r="B24" s="46">
        <v>45261</v>
      </c>
      <c r="C24">
        <v>61.53</v>
      </c>
      <c r="D24" s="47">
        <v>5.33E-2</v>
      </c>
      <c r="E24" s="52">
        <f t="shared" si="1"/>
        <v>0.2425282714054926</v>
      </c>
      <c r="F24" s="53">
        <f t="shared" si="2"/>
        <v>4.0887671232876718E-3</v>
      </c>
      <c r="G24" s="51">
        <f t="shared" si="3"/>
        <v>0.23843950428220492</v>
      </c>
      <c r="H24" s="1"/>
      <c r="I24" s="8">
        <f t="shared" si="0"/>
        <v>61.53</v>
      </c>
      <c r="J24" s="52">
        <f t="shared" si="4"/>
        <v>0.2425282714054926</v>
      </c>
      <c r="K24" s="48">
        <v>16911.099999999999</v>
      </c>
      <c r="L24" s="52">
        <f t="shared" si="5"/>
        <v>3.4534115790159081E-3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79.11</v>
      </c>
      <c r="D25" s="47">
        <v>5.2699999999999997E-2</v>
      </c>
      <c r="E25" s="52">
        <f t="shared" si="1"/>
        <v>0.28571428571428559</v>
      </c>
      <c r="F25" s="53">
        <f t="shared" si="2"/>
        <v>4.0427397260273962E-3</v>
      </c>
      <c r="G25" s="51">
        <f t="shared" si="3"/>
        <v>0.28167154598825817</v>
      </c>
      <c r="H25" s="1"/>
      <c r="I25" s="8">
        <f t="shared" si="0"/>
        <v>79.11</v>
      </c>
      <c r="J25" s="52">
        <f t="shared" si="4"/>
        <v>0.28571428571428559</v>
      </c>
      <c r="K25" s="48">
        <v>17607.400000000001</v>
      </c>
      <c r="L25" s="52">
        <f t="shared" si="5"/>
        <v>4.1174140061853048E-2</v>
      </c>
      <c r="M25" s="1"/>
      <c r="N25" s="30"/>
      <c r="O25" s="64"/>
      <c r="P25" s="30" t="s">
        <v>23</v>
      </c>
      <c r="Q25" s="84">
        <f>Q10</f>
        <v>46.27</v>
      </c>
      <c r="R25" s="31"/>
    </row>
    <row r="26" spans="2:18" x14ac:dyDescent="0.2">
      <c r="B26" s="46">
        <v>45323</v>
      </c>
      <c r="C26">
        <v>90.36</v>
      </c>
      <c r="D26" s="47">
        <v>5.2999999999999999E-2</v>
      </c>
      <c r="E26" s="52">
        <f t="shared" si="1"/>
        <v>0.14220705346985207</v>
      </c>
      <c r="F26" s="53">
        <f t="shared" si="2"/>
        <v>4.0657534246575349E-3</v>
      </c>
      <c r="G26" s="51">
        <f t="shared" si="3"/>
        <v>0.13814130004519454</v>
      </c>
      <c r="H26" s="1"/>
      <c r="I26" s="8">
        <f t="shared" si="0"/>
        <v>90.36</v>
      </c>
      <c r="J26" s="52">
        <f t="shared" si="4"/>
        <v>0.14220705346985207</v>
      </c>
      <c r="K26" s="48">
        <v>18312.7</v>
      </c>
      <c r="L26" s="52">
        <f t="shared" si="5"/>
        <v>4.0057021479605215E-2</v>
      </c>
      <c r="M26" s="1"/>
      <c r="N26" s="49" t="s">
        <v>54</v>
      </c>
      <c r="O26" s="64"/>
      <c r="P26" s="30" t="s">
        <v>55</v>
      </c>
      <c r="Q26" s="132">
        <f>1/Q25</f>
        <v>2.1612275772638856E-2</v>
      </c>
      <c r="R26" s="31">
        <f>IF(Q26&lt;Q19,0,1)</f>
        <v>0</v>
      </c>
    </row>
    <row r="27" spans="2:18" x14ac:dyDescent="0.2">
      <c r="B27" s="46">
        <v>45352</v>
      </c>
      <c r="C27">
        <v>86.4</v>
      </c>
      <c r="D27" s="47">
        <v>5.2900000000000003E-2</v>
      </c>
      <c r="E27" s="52">
        <f t="shared" si="1"/>
        <v>-4.3824701195219085E-2</v>
      </c>
      <c r="F27" s="53">
        <f t="shared" si="2"/>
        <v>4.0580821917808214E-3</v>
      </c>
      <c r="G27" s="51">
        <f t="shared" si="3"/>
        <v>-4.7882783386999903E-2</v>
      </c>
      <c r="H27" s="1"/>
      <c r="I27" s="8">
        <f t="shared" si="0"/>
        <v>86.4</v>
      </c>
      <c r="J27" s="52">
        <f t="shared" si="4"/>
        <v>-4.3824701195219085E-2</v>
      </c>
      <c r="K27" s="48">
        <v>17603.3</v>
      </c>
      <c r="L27" s="52">
        <f t="shared" si="5"/>
        <v>-3.8738143474201014E-2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109.63</v>
      </c>
      <c r="D28" s="47">
        <v>5.28E-2</v>
      </c>
      <c r="E28" s="52">
        <f t="shared" si="1"/>
        <v>0.26886574074074066</v>
      </c>
      <c r="F28" s="53">
        <f t="shared" si="2"/>
        <v>4.0504109589041097E-3</v>
      </c>
      <c r="G28" s="51">
        <f t="shared" si="3"/>
        <v>0.26481532978183653</v>
      </c>
      <c r="H28" s="1"/>
      <c r="I28" s="8">
        <f t="shared" si="0"/>
        <v>109.63</v>
      </c>
      <c r="J28" s="52">
        <f t="shared" si="4"/>
        <v>0.26886574074074066</v>
      </c>
      <c r="K28" s="48">
        <v>18083.7</v>
      </c>
      <c r="L28" s="52">
        <f t="shared" si="5"/>
        <v>2.7290337607153381E-2</v>
      </c>
      <c r="M28" s="1"/>
      <c r="N28" s="30"/>
      <c r="O28" s="1"/>
      <c r="P28" s="30" t="s">
        <v>57</v>
      </c>
      <c r="Q28" s="51">
        <f>Q18</f>
        <v>0.1518186455210343</v>
      </c>
      <c r="R28" s="31"/>
    </row>
    <row r="29" spans="2:18" x14ac:dyDescent="0.2">
      <c r="B29" s="46">
        <v>45413</v>
      </c>
      <c r="C29">
        <v>123.54</v>
      </c>
      <c r="D29" s="47">
        <v>5.2699999999999997E-2</v>
      </c>
      <c r="E29" s="52">
        <f t="shared" si="1"/>
        <v>0.1268813281036214</v>
      </c>
      <c r="F29" s="53">
        <f t="shared" si="2"/>
        <v>4.0427397260273962E-3</v>
      </c>
      <c r="G29" s="51">
        <f t="shared" si="3"/>
        <v>0.12283858837759401</v>
      </c>
      <c r="H29" s="1"/>
      <c r="I29" s="8">
        <f t="shared" si="0"/>
        <v>123.54</v>
      </c>
      <c r="J29" s="52">
        <f t="shared" si="4"/>
        <v>0.1268813281036214</v>
      </c>
      <c r="K29" s="48">
        <v>18026.5</v>
      </c>
      <c r="L29" s="52">
        <f t="shared" si="5"/>
        <v>-3.1630695045815616E-3</v>
      </c>
      <c r="M29" s="1"/>
      <c r="N29" s="49" t="s">
        <v>117</v>
      </c>
      <c r="O29" s="1"/>
      <c r="P29" s="30" t="s">
        <v>58</v>
      </c>
      <c r="Q29" s="67">
        <v>0.1542</v>
      </c>
      <c r="R29" s="31"/>
    </row>
    <row r="30" spans="2:18" ht="17" thickBot="1" x14ac:dyDescent="0.25">
      <c r="B30" s="46">
        <v>45444</v>
      </c>
      <c r="C30">
        <v>117.02</v>
      </c>
      <c r="D30" s="47">
        <v>5.2699999999999997E-2</v>
      </c>
      <c r="E30" s="52">
        <f t="shared" si="1"/>
        <v>-5.2776428687065002E-2</v>
      </c>
      <c r="F30" s="53">
        <f t="shared" si="2"/>
        <v>4.0427397260273962E-3</v>
      </c>
      <c r="G30" s="51">
        <f t="shared" si="3"/>
        <v>-5.6819168413092397E-2</v>
      </c>
      <c r="I30" s="8">
        <f t="shared" si="0"/>
        <v>117.02</v>
      </c>
      <c r="J30" s="52">
        <f t="shared" si="4"/>
        <v>-5.2776428687065002E-2</v>
      </c>
      <c r="K30" s="48">
        <v>18710</v>
      </c>
      <c r="L30" s="52">
        <f t="shared" si="5"/>
        <v>3.7916400854297816E-2</v>
      </c>
      <c r="M30" s="1"/>
      <c r="N30" s="1"/>
      <c r="O30" s="1"/>
      <c r="P30" s="33"/>
      <c r="Q30" s="68">
        <f>Q28-Q29</f>
        <v>-2.3813544789657026E-3</v>
      </c>
      <c r="R30" s="31">
        <f>IF(Q28&lt;Q29,0,1)</f>
        <v>0</v>
      </c>
    </row>
    <row r="31" spans="2:18" ht="17" thickBot="1" x14ac:dyDescent="0.25">
      <c r="B31" s="46">
        <v>45474</v>
      </c>
      <c r="C31">
        <v>119.37</v>
      </c>
      <c r="D31" s="47">
        <v>5.28E-2</v>
      </c>
      <c r="E31" s="52">
        <f t="shared" si="1"/>
        <v>2.008203725858837E-2</v>
      </c>
      <c r="F31" s="53">
        <f t="shared" si="2"/>
        <v>4.0504109589041097E-3</v>
      </c>
      <c r="G31" s="51">
        <f t="shared" si="3"/>
        <v>1.603162629968426E-2</v>
      </c>
      <c r="H31" s="1"/>
      <c r="I31" s="8">
        <f t="shared" si="0"/>
        <v>119.37</v>
      </c>
      <c r="J31" s="52">
        <f t="shared" si="4"/>
        <v>2.008203725858837E-2</v>
      </c>
      <c r="K31" s="48">
        <v>19292.2</v>
      </c>
      <c r="L31" s="52">
        <f t="shared" si="5"/>
        <v>3.1117049706039568E-2</v>
      </c>
      <c r="M31" s="1"/>
      <c r="N31" s="1"/>
      <c r="O31" s="1"/>
      <c r="P31" s="30"/>
      <c r="Q31" s="69"/>
      <c r="R31" s="133">
        <f>SUM(R10:R30)/8</f>
        <v>0.25</v>
      </c>
    </row>
    <row r="32" spans="2:18" x14ac:dyDescent="0.2">
      <c r="B32" s="46">
        <v>45505</v>
      </c>
      <c r="C32">
        <v>121.44</v>
      </c>
      <c r="D32" s="47">
        <v>5.1799999999999999E-2</v>
      </c>
      <c r="E32" s="52">
        <f t="shared" si="1"/>
        <v>1.7341040462427681E-2</v>
      </c>
      <c r="F32" s="53">
        <f t="shared" si="2"/>
        <v>3.9736986301369863E-3</v>
      </c>
      <c r="G32" s="51">
        <f t="shared" si="3"/>
        <v>1.3367341832290696E-2</v>
      </c>
      <c r="H32" s="1"/>
      <c r="I32" s="8">
        <f t="shared" si="0"/>
        <v>121.44</v>
      </c>
      <c r="J32" s="52">
        <f t="shared" si="4"/>
        <v>1.7341040462427681E-2</v>
      </c>
      <c r="K32" s="48">
        <v>19516.400000000001</v>
      </c>
      <c r="L32" s="52">
        <f t="shared" si="5"/>
        <v>1.1621276992774376E-2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132.76</v>
      </c>
      <c r="D33" s="47">
        <v>4.7399999999999998E-2</v>
      </c>
      <c r="E33" s="52">
        <f t="shared" si="1"/>
        <v>9.3214756258234388E-2</v>
      </c>
      <c r="F33" s="53">
        <f t="shared" si="2"/>
        <v>3.6361643835616433E-3</v>
      </c>
      <c r="G33" s="51">
        <f t="shared" si="3"/>
        <v>8.957859187467275E-2</v>
      </c>
      <c r="H33" s="1"/>
      <c r="I33" s="8">
        <f t="shared" si="0"/>
        <v>132.76</v>
      </c>
      <c r="J33" s="52">
        <f t="shared" si="4"/>
        <v>9.3214756258234388E-2</v>
      </c>
      <c r="K33" s="48">
        <v>19239</v>
      </c>
      <c r="L33" s="52">
        <f t="shared" si="5"/>
        <v>-1.4213686950462212E-2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138.25</v>
      </c>
      <c r="D34" s="47">
        <v>4.58E-2</v>
      </c>
      <c r="E34" s="52">
        <f t="shared" si="1"/>
        <v>4.1352817113588403E-2</v>
      </c>
      <c r="F34" s="53">
        <f t="shared" si="2"/>
        <v>3.5134246575342465E-3</v>
      </c>
      <c r="G34" s="51">
        <f t="shared" si="3"/>
        <v>3.7839392456054159E-2</v>
      </c>
      <c r="H34" s="1"/>
      <c r="I34" s="8">
        <f t="shared" si="0"/>
        <v>138.25</v>
      </c>
      <c r="J34" s="52">
        <f t="shared" si="4"/>
        <v>4.1352817113588403E-2</v>
      </c>
      <c r="K34" s="48">
        <v>20272</v>
      </c>
      <c r="L34" s="52">
        <f t="shared" si="5"/>
        <v>5.3693019387702101E-2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134.29</v>
      </c>
      <c r="D35" s="47">
        <v>4.5499999999999999E-2</v>
      </c>
      <c r="E35" s="52">
        <f t="shared" si="1"/>
        <v>-2.8643761301989201E-2</v>
      </c>
      <c r="F35" s="53">
        <f t="shared" si="2"/>
        <v>3.4904109589041091E-3</v>
      </c>
      <c r="G35" s="51">
        <f t="shared" si="3"/>
        <v>-3.2134172260893309E-2</v>
      </c>
      <c r="H35" s="1"/>
      <c r="I35" s="8">
        <f t="shared" si="0"/>
        <v>134.29</v>
      </c>
      <c r="J35" s="52">
        <f t="shared" si="4"/>
        <v>-2.8643761301989201E-2</v>
      </c>
      <c r="K35" s="48">
        <v>19097.099999999999</v>
      </c>
      <c r="L35" s="52">
        <f t="shared" si="5"/>
        <v>-5.7956787687450717E-2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120.07</v>
      </c>
      <c r="D36" s="47">
        <v>4.2200000000000001E-2</v>
      </c>
      <c r="E36" s="52">
        <f t="shared" si="1"/>
        <v>-0.10589023754561022</v>
      </c>
      <c r="F36" s="53">
        <f t="shared" si="2"/>
        <v>3.2372602739726029E-3</v>
      </c>
      <c r="G36" s="51">
        <f t="shared" si="3"/>
        <v>-0.10912749781958282</v>
      </c>
      <c r="H36" s="1"/>
      <c r="I36" s="8">
        <f t="shared" si="0"/>
        <v>120.07</v>
      </c>
      <c r="J36" s="52">
        <f t="shared" si="4"/>
        <v>-0.10589023754561022</v>
      </c>
      <c r="K36" s="48">
        <v>19998.8</v>
      </c>
      <c r="L36" s="52">
        <f t="shared" si="5"/>
        <v>4.7216593095286807E-2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124.92</v>
      </c>
      <c r="D37" s="47">
        <v>4.2599999999999999E-2</v>
      </c>
      <c r="E37" s="52">
        <f t="shared" si="1"/>
        <v>4.0393104022653503E-2</v>
      </c>
      <c r="F37" s="53">
        <f t="shared" si="2"/>
        <v>3.267945205479452E-3</v>
      </c>
      <c r="G37" s="51">
        <f t="shared" si="3"/>
        <v>3.7125158817174049E-2</v>
      </c>
      <c r="H37" s="1"/>
      <c r="I37" s="8">
        <f t="shared" si="0"/>
        <v>124.92</v>
      </c>
      <c r="J37" s="52">
        <f t="shared" si="4"/>
        <v>4.0393104022653503E-2</v>
      </c>
      <c r="K37" s="48">
        <v>20028.2</v>
      </c>
      <c r="L37" s="52">
        <f t="shared" si="5"/>
        <v>1.4700882052924857E-3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108.38</v>
      </c>
      <c r="D38" s="47">
        <v>4.24E-2</v>
      </c>
      <c r="E38" s="52">
        <f t="shared" si="1"/>
        <v>-0.13240473903298111</v>
      </c>
      <c r="F38" s="53">
        <f t="shared" si="2"/>
        <v>3.2526027397260277E-3</v>
      </c>
      <c r="G38" s="51">
        <f t="shared" si="3"/>
        <v>-0.13565734177270714</v>
      </c>
      <c r="H38" s="1"/>
      <c r="I38" s="8">
        <f t="shared" si="0"/>
        <v>108.38</v>
      </c>
      <c r="J38" s="52">
        <f t="shared" si="4"/>
        <v>-0.13240473903298111</v>
      </c>
      <c r="K38" s="48">
        <v>19395.900000000001</v>
      </c>
      <c r="L38" s="52">
        <f t="shared" si="5"/>
        <v>-3.1570485615282418E-2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108.92</v>
      </c>
      <c r="D39" s="47">
        <v>4.24E-2</v>
      </c>
      <c r="E39" s="52">
        <f t="shared" si="1"/>
        <v>4.9824690902380286E-3</v>
      </c>
      <c r="F39" s="53">
        <f t="shared" si="2"/>
        <v>3.2526027397260277E-3</v>
      </c>
      <c r="G39" s="51">
        <f t="shared" si="3"/>
        <v>1.729866350512001E-3</v>
      </c>
      <c r="H39" s="1"/>
      <c r="I39" s="8">
        <f t="shared" si="0"/>
        <v>108.92</v>
      </c>
      <c r="J39" s="52">
        <f t="shared" si="4"/>
        <v>4.9824690902380286E-3</v>
      </c>
      <c r="K39" s="48">
        <v>19114.2</v>
      </c>
      <c r="L39" s="52">
        <f t="shared" si="5"/>
        <v>-1.4523687995916745E-2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135.13</v>
      </c>
      <c r="D40" s="47">
        <v>4.2299999999999997E-2</v>
      </c>
      <c r="E40" s="52">
        <f t="shared" si="1"/>
        <v>0.2406353286816012</v>
      </c>
      <c r="F40" s="53">
        <f t="shared" si="2"/>
        <v>3.2449315068493151E-3</v>
      </c>
      <c r="G40" s="51">
        <f t="shared" si="3"/>
        <v>0.23739039717475188</v>
      </c>
      <c r="H40" s="1"/>
      <c r="I40" s="8">
        <f t="shared" si="0"/>
        <v>135.13</v>
      </c>
      <c r="J40" s="52">
        <f t="shared" si="4"/>
        <v>0.2406353286816012</v>
      </c>
      <c r="K40" s="48">
        <v>19783.8</v>
      </c>
      <c r="L40" s="52">
        <f t="shared" si="5"/>
        <v>3.5031547226669124E-2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141.97</v>
      </c>
      <c r="D41" s="47">
        <v>4.2200000000000001E-2</v>
      </c>
      <c r="E41" s="52">
        <f t="shared" si="1"/>
        <v>5.0617923481092397E-2</v>
      </c>
      <c r="F41" s="53">
        <f t="shared" si="2"/>
        <v>3.2372602739726029E-3</v>
      </c>
      <c r="G41" s="51">
        <f t="shared" si="3"/>
        <v>4.7380663207119797E-2</v>
      </c>
      <c r="H41" s="1"/>
      <c r="I41" s="8">
        <f t="shared" si="0"/>
        <v>141.97</v>
      </c>
      <c r="J41" s="52">
        <f t="shared" si="4"/>
        <v>5.0617923481092397E-2</v>
      </c>
      <c r="K41" s="48">
        <v>19981.099999999999</v>
      </c>
      <c r="L41" s="52">
        <f t="shared" si="5"/>
        <v>9.9728060332191504E-3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5.2414455434450141E-2</v>
      </c>
      <c r="H43" s="1"/>
      <c r="I43" s="1"/>
      <c r="J43" s="1"/>
      <c r="K43" s="48" t="s">
        <v>65</v>
      </c>
      <c r="L43" s="82">
        <f>COVAR(J20:J41,L20:L41)</f>
        <v>1.9916091039527488E-3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1.3119365558916414E-3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1.5180681527691531</v>
      </c>
    </row>
  </sheetData>
  <mergeCells count="1">
    <mergeCell ref="B4:D4"/>
  </mergeCells>
  <conditionalFormatting sqref="S10">
    <cfRule type="expression" dxfId="569" priority="19">
      <formula>IF($Q$10&gt;$Q$11,1,0)</formula>
    </cfRule>
  </conditionalFormatting>
  <conditionalFormatting sqref="Q10">
    <cfRule type="expression" dxfId="568" priority="10">
      <formula>IF($Q$10&lt;$Q$11,1,0)</formula>
    </cfRule>
    <cfRule type="expression" dxfId="567" priority="18">
      <formula>IF($Q$10&gt;$Q$11,1,0)</formula>
    </cfRule>
  </conditionalFormatting>
  <conditionalFormatting sqref="Q12">
    <cfRule type="expression" dxfId="566" priority="9">
      <formula>IF($Q$12&gt;$Q$13,1,0)</formula>
    </cfRule>
    <cfRule type="expression" dxfId="565" priority="17">
      <formula>IF($Q$12&lt;$Q$13,1,0)</formula>
    </cfRule>
  </conditionalFormatting>
  <conditionalFormatting sqref="Q14">
    <cfRule type="expression" dxfId="564" priority="16">
      <formula>IF($Q$15="Sell",1,0)</formula>
    </cfRule>
  </conditionalFormatting>
  <conditionalFormatting sqref="Q14:Q15">
    <cfRule type="expression" dxfId="563" priority="15">
      <formula>IF($Q$15="Buy",1,0)</formula>
    </cfRule>
  </conditionalFormatting>
  <conditionalFormatting sqref="Q16">
    <cfRule type="expression" dxfId="562" priority="13">
      <formula>IF($Q$16&lt;$Q$17,1,0)</formula>
    </cfRule>
    <cfRule type="expression" dxfId="561" priority="14">
      <formula>IF($Q$16&gt;$Q$17,1,0)</formula>
    </cfRule>
  </conditionalFormatting>
  <conditionalFormatting sqref="Q18">
    <cfRule type="expression" dxfId="560" priority="11">
      <formula>IF($Q$18&lt;$Q$19,1,0)</formula>
    </cfRule>
    <cfRule type="expression" dxfId="559" priority="12">
      <formula>IF($Q$18&gt;$Q$19,1,0)</formula>
    </cfRule>
  </conditionalFormatting>
  <conditionalFormatting sqref="Q23">
    <cfRule type="expression" dxfId="558" priority="7">
      <formula>IF($Q$23&lt;1.1,1,0)</formula>
    </cfRule>
    <cfRule type="expression" dxfId="557" priority="8">
      <formula>IF($Q$23&gt;1.1,1,0)</formula>
    </cfRule>
  </conditionalFormatting>
  <conditionalFormatting sqref="Q26">
    <cfRule type="expression" dxfId="556" priority="5">
      <formula>IF($Q$26&lt;$Q$19,1,0)</formula>
    </cfRule>
    <cfRule type="expression" dxfId="555" priority="6">
      <formula>IF($Q$26&gt;$Q$19,1,0)</formula>
    </cfRule>
  </conditionalFormatting>
  <conditionalFormatting sqref="Q30">
    <cfRule type="expression" dxfId="554" priority="3">
      <formula>IF($Q$28&lt;$Q$29,1,0)</formula>
    </cfRule>
    <cfRule type="expression" dxfId="553" priority="4">
      <formula>IF($Q$28&gt;$Q$29,1,0)</formula>
    </cfRule>
  </conditionalFormatting>
  <conditionalFormatting sqref="R31">
    <cfRule type="expression" dxfId="552" priority="1">
      <formula>IF($R$31&lt;0.485,1,0)</formula>
    </cfRule>
    <cfRule type="expression" dxfId="551" priority="2">
      <formula>IF($R$31&gt;0.49,1,0)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436A8-5CA3-478F-B3A9-D9F22DAFAEE8}">
  <sheetPr codeName="Sheet7"/>
  <dimension ref="B2:R45"/>
  <sheetViews>
    <sheetView topLeftCell="A3" zoomScale="85" zoomScaleNormal="85" workbookViewId="0">
      <selection activeCell="K20" sqref="K20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123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122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NVDA</v>
      </c>
      <c r="R5" s="8"/>
    </row>
    <row r="6" spans="2:18" x14ac:dyDescent="0.2">
      <c r="B6" s="1" t="s">
        <v>4</v>
      </c>
      <c r="C6" s="1" t="s">
        <v>62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NASDAQ</v>
      </c>
      <c r="R6" s="8"/>
    </row>
    <row r="7" spans="2:18" x14ac:dyDescent="0.2">
      <c r="B7" s="1" t="s">
        <v>7</v>
      </c>
      <c r="C7" s="13">
        <v>45821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141.97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46.27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-14.63</v>
      </c>
      <c r="R11" s="31">
        <f>IF(Q10&gt;Q11,0,1)</f>
        <v>0</v>
      </c>
    </row>
    <row r="12" spans="2:18" x14ac:dyDescent="0.2">
      <c r="B12" s="1" t="s">
        <v>26</v>
      </c>
      <c r="C12" s="32">
        <f>Q23</f>
        <v>2.12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0.96</v>
      </c>
      <c r="R12" s="25"/>
    </row>
    <row r="13" spans="2:18" x14ac:dyDescent="0.2">
      <c r="B13" s="1" t="s">
        <v>30</v>
      </c>
      <c r="C13" s="26">
        <f>G43</f>
        <v>5.2414455434450141E-2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0.93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0.1518186455210343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1.84</v>
      </c>
      <c r="R14" s="31"/>
    </row>
    <row r="15" spans="2:18" ht="19" x14ac:dyDescent="0.25">
      <c r="B15" s="1" t="s">
        <v>36</v>
      </c>
      <c r="C15" s="39">
        <f>C10*(1+C14)</f>
        <v>163.52369310462126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f>IF(Q15="Sell",0,1)</f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-0.12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62.92</v>
      </c>
      <c r="R17" s="42">
        <f>IF(Q16&lt;Q17,0,1)</f>
        <v>0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NVIDIA</v>
      </c>
      <c r="J18" s="34" t="s">
        <v>45</v>
      </c>
      <c r="K18" s="34" t="str">
        <f>_xlfn.CONCAT("Precio ",C6)</f>
        <v>Precio NASDAQ</v>
      </c>
      <c r="L18" s="34" t="s">
        <v>46</v>
      </c>
      <c r="M18" s="1"/>
      <c r="N18" s="21"/>
      <c r="O18" s="22"/>
      <c r="P18" s="23" t="s">
        <v>47</v>
      </c>
      <c r="Q18" s="137">
        <f>C14</f>
        <v>0.1518186455210343</v>
      </c>
      <c r="R18" s="25"/>
    </row>
    <row r="19" spans="2:18" x14ac:dyDescent="0.2">
      <c r="B19" s="46">
        <v>45108</v>
      </c>
      <c r="C19">
        <v>49.35</v>
      </c>
      <c r="D19" s="47">
        <v>5.2699999999999997E-2</v>
      </c>
      <c r="E19" s="1"/>
      <c r="F19" s="1"/>
      <c r="G19" s="1"/>
      <c r="H19" s="1"/>
      <c r="I19" s="8">
        <f>C19</f>
        <v>49.35</v>
      </c>
      <c r="J19" s="8"/>
      <c r="K19" s="48">
        <v>15501.07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43.5</v>
      </c>
      <c r="D20" s="47">
        <v>5.28E-2</v>
      </c>
      <c r="E20" s="52">
        <f>C20/C19-1</f>
        <v>-0.1185410334346505</v>
      </c>
      <c r="F20" s="53">
        <f>D20/365*28</f>
        <v>4.0504109589041097E-3</v>
      </c>
      <c r="G20" s="51">
        <f>E20-F20</f>
        <v>-0.12259144439355461</v>
      </c>
      <c r="H20" s="1"/>
      <c r="I20" s="8">
        <f t="shared" ref="I20:I41" si="0">C20</f>
        <v>43.5</v>
      </c>
      <c r="J20" s="52">
        <f>I20/I19-1</f>
        <v>-0.1185410334346505</v>
      </c>
      <c r="K20" s="48">
        <v>14715.24</v>
      </c>
      <c r="L20" s="52">
        <f>K20/K19-1</f>
        <v>-5.0695210072595032E-2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40.78</v>
      </c>
      <c r="D21" s="47">
        <v>5.2900000000000003E-2</v>
      </c>
      <c r="E21" s="52">
        <f t="shared" ref="E21:E41" si="1">C21/C20-1</f>
        <v>-6.2528735632183863E-2</v>
      </c>
      <c r="F21" s="53">
        <f t="shared" ref="F21:F41" si="2">D21/365*28</f>
        <v>4.0580821917808214E-3</v>
      </c>
      <c r="G21" s="51">
        <f t="shared" ref="G21:G41" si="3">E21-F21</f>
        <v>-6.6586817823964681E-2</v>
      </c>
      <c r="H21" s="1"/>
      <c r="I21" s="8">
        <f t="shared" si="0"/>
        <v>40.78</v>
      </c>
      <c r="J21" s="52">
        <f t="shared" ref="J21:J41" si="4">I21/I20-1</f>
        <v>-6.2528735632183863E-2</v>
      </c>
      <c r="K21" s="48">
        <v>14409.78</v>
      </c>
      <c r="L21" s="52">
        <f t="shared" ref="L21:L41" si="5">K21/K20-1</f>
        <v>-2.0758071224118657E-2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46.77</v>
      </c>
      <c r="D22" s="47">
        <v>5.2900000000000003E-2</v>
      </c>
      <c r="E22" s="52">
        <f t="shared" si="1"/>
        <v>0.14688572829818547</v>
      </c>
      <c r="F22" s="53">
        <f t="shared" si="2"/>
        <v>4.0580821917808214E-3</v>
      </c>
      <c r="G22" s="51">
        <f t="shared" si="3"/>
        <v>0.14282764610640464</v>
      </c>
      <c r="H22" s="1"/>
      <c r="I22" s="8">
        <f t="shared" si="0"/>
        <v>46.77</v>
      </c>
      <c r="J22" s="52">
        <f t="shared" si="4"/>
        <v>0.14688572829818547</v>
      </c>
      <c r="K22" s="48">
        <v>15947.87</v>
      </c>
      <c r="L22" s="52">
        <f t="shared" si="5"/>
        <v>0.10673931177297646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C23">
        <v>49.52</v>
      </c>
      <c r="D23" s="47">
        <v>5.2900000000000003E-2</v>
      </c>
      <c r="E23" s="52">
        <f t="shared" si="1"/>
        <v>5.8798375026726468E-2</v>
      </c>
      <c r="F23" s="53">
        <f t="shared" si="2"/>
        <v>4.0580821917808214E-3</v>
      </c>
      <c r="G23" s="51">
        <f t="shared" si="3"/>
        <v>5.474029283494565E-2</v>
      </c>
      <c r="H23" s="1"/>
      <c r="I23" s="8">
        <f t="shared" si="0"/>
        <v>49.52</v>
      </c>
      <c r="J23" s="52">
        <f t="shared" si="4"/>
        <v>5.8798375026726468E-2</v>
      </c>
      <c r="K23" s="48">
        <v>16825.93</v>
      </c>
      <c r="L23" s="52">
        <f t="shared" si="5"/>
        <v>5.5058136290300874E-2</v>
      </c>
      <c r="M23" s="1"/>
      <c r="N23" s="57" t="s">
        <v>51</v>
      </c>
      <c r="O23" s="58" t="s">
        <v>52</v>
      </c>
      <c r="P23" s="59" t="s">
        <v>44</v>
      </c>
      <c r="Q23" s="128">
        <v>2.12</v>
      </c>
      <c r="R23" s="61">
        <f>IF(Q23&gt;1.1,0,1)</f>
        <v>0</v>
      </c>
    </row>
    <row r="24" spans="2:18" x14ac:dyDescent="0.2">
      <c r="B24" s="46">
        <v>45261</v>
      </c>
      <c r="C24">
        <v>61.53</v>
      </c>
      <c r="D24" s="47">
        <v>5.33E-2</v>
      </c>
      <c r="E24" s="52">
        <f t="shared" si="1"/>
        <v>0.2425282714054926</v>
      </c>
      <c r="F24" s="53">
        <f t="shared" si="2"/>
        <v>4.0887671232876718E-3</v>
      </c>
      <c r="G24" s="51">
        <f t="shared" si="3"/>
        <v>0.23843950428220492</v>
      </c>
      <c r="H24" s="1"/>
      <c r="I24" s="8">
        <f t="shared" si="0"/>
        <v>61.53</v>
      </c>
      <c r="J24" s="52">
        <f t="shared" si="4"/>
        <v>0.2425282714054926</v>
      </c>
      <c r="K24" s="48">
        <v>17137.240000000002</v>
      </c>
      <c r="L24" s="52">
        <f t="shared" si="5"/>
        <v>1.8501800494831633E-2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79.11</v>
      </c>
      <c r="D25" s="47">
        <v>5.2699999999999997E-2</v>
      </c>
      <c r="E25" s="52">
        <f t="shared" si="1"/>
        <v>0.28571428571428559</v>
      </c>
      <c r="F25" s="53">
        <f t="shared" si="2"/>
        <v>4.0427397260273962E-3</v>
      </c>
      <c r="G25" s="51">
        <f t="shared" si="3"/>
        <v>0.28167154598825817</v>
      </c>
      <c r="H25" s="1"/>
      <c r="I25" s="8">
        <f t="shared" si="0"/>
        <v>79.11</v>
      </c>
      <c r="J25" s="52">
        <f t="shared" si="4"/>
        <v>0.28571428571428559</v>
      </c>
      <c r="K25" s="48">
        <v>18043.849999999999</v>
      </c>
      <c r="L25" s="52">
        <f t="shared" si="5"/>
        <v>5.2902917856084031E-2</v>
      </c>
      <c r="M25" s="1"/>
      <c r="N25" s="30"/>
      <c r="O25" s="64"/>
      <c r="P25" s="30" t="s">
        <v>23</v>
      </c>
      <c r="Q25" s="84">
        <f>Q10</f>
        <v>46.27</v>
      </c>
      <c r="R25" s="31"/>
    </row>
    <row r="26" spans="2:18" x14ac:dyDescent="0.2">
      <c r="B26" s="46">
        <v>45323</v>
      </c>
      <c r="C26">
        <v>90.36</v>
      </c>
      <c r="D26" s="47">
        <v>5.2999999999999999E-2</v>
      </c>
      <c r="E26" s="52">
        <f t="shared" si="1"/>
        <v>0.14220705346985207</v>
      </c>
      <c r="F26" s="53">
        <f t="shared" si="2"/>
        <v>4.0657534246575349E-3</v>
      </c>
      <c r="G26" s="51">
        <f t="shared" si="3"/>
        <v>0.13814130004519454</v>
      </c>
      <c r="H26" s="1"/>
      <c r="I26" s="8">
        <f t="shared" si="0"/>
        <v>90.36</v>
      </c>
      <c r="J26" s="52">
        <f t="shared" si="4"/>
        <v>0.14220705346985207</v>
      </c>
      <c r="K26" s="48">
        <v>18254.689999999999</v>
      </c>
      <c r="L26" s="52">
        <f t="shared" si="5"/>
        <v>1.1684867697304036E-2</v>
      </c>
      <c r="M26" s="1"/>
      <c r="N26" s="49" t="s">
        <v>54</v>
      </c>
      <c r="O26" s="64"/>
      <c r="P26" s="30" t="s">
        <v>55</v>
      </c>
      <c r="Q26" s="132">
        <f>1/Q25</f>
        <v>2.1612275772638856E-2</v>
      </c>
      <c r="R26" s="31">
        <f>IF(Q26&lt;Q19,0,1)</f>
        <v>0</v>
      </c>
    </row>
    <row r="27" spans="2:18" x14ac:dyDescent="0.2">
      <c r="B27" s="46">
        <v>45352</v>
      </c>
      <c r="C27">
        <v>86.4</v>
      </c>
      <c r="D27" s="47">
        <v>5.2900000000000003E-2</v>
      </c>
      <c r="E27" s="52">
        <f t="shared" si="1"/>
        <v>-4.3824701195219085E-2</v>
      </c>
      <c r="F27" s="53">
        <f t="shared" si="2"/>
        <v>4.0580821917808214E-3</v>
      </c>
      <c r="G27" s="51">
        <f t="shared" si="3"/>
        <v>-4.7882783386999903E-2</v>
      </c>
      <c r="H27" s="1"/>
      <c r="I27" s="8">
        <f t="shared" si="0"/>
        <v>86.4</v>
      </c>
      <c r="J27" s="52">
        <f t="shared" si="4"/>
        <v>-4.3824701195219085E-2</v>
      </c>
      <c r="K27" s="48">
        <v>17440.689999999999</v>
      </c>
      <c r="L27" s="52">
        <f t="shared" si="5"/>
        <v>-4.4591280377809794E-2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109.63</v>
      </c>
      <c r="D28" s="47">
        <v>5.28E-2</v>
      </c>
      <c r="E28" s="52">
        <f t="shared" si="1"/>
        <v>0.26886574074074066</v>
      </c>
      <c r="F28" s="53">
        <f t="shared" si="2"/>
        <v>4.0504109589041097E-3</v>
      </c>
      <c r="G28" s="51">
        <f t="shared" si="3"/>
        <v>0.26481532978183653</v>
      </c>
      <c r="H28" s="1"/>
      <c r="I28" s="8">
        <f t="shared" si="0"/>
        <v>109.63</v>
      </c>
      <c r="J28" s="52">
        <f t="shared" si="4"/>
        <v>0.26886574074074066</v>
      </c>
      <c r="K28" s="48">
        <v>18536.650000000001</v>
      </c>
      <c r="L28" s="52">
        <f t="shared" si="5"/>
        <v>6.2839256933068688E-2</v>
      </c>
      <c r="M28" s="1"/>
      <c r="N28" s="30"/>
      <c r="O28" s="1"/>
      <c r="P28" s="30" t="s">
        <v>57</v>
      </c>
      <c r="Q28" s="51">
        <f>Q18</f>
        <v>0.1518186455210343</v>
      </c>
      <c r="R28" s="31"/>
    </row>
    <row r="29" spans="2:18" x14ac:dyDescent="0.2">
      <c r="B29" s="46">
        <v>45413</v>
      </c>
      <c r="C29">
        <v>123.54</v>
      </c>
      <c r="D29" s="47">
        <v>5.2699999999999997E-2</v>
      </c>
      <c r="E29" s="52">
        <f t="shared" si="1"/>
        <v>0.1268813281036214</v>
      </c>
      <c r="F29" s="53">
        <f t="shared" si="2"/>
        <v>4.0427397260273962E-3</v>
      </c>
      <c r="G29" s="51">
        <f t="shared" si="3"/>
        <v>0.12283858837759401</v>
      </c>
      <c r="H29" s="1"/>
      <c r="I29" s="8">
        <f t="shared" si="0"/>
        <v>123.54</v>
      </c>
      <c r="J29" s="52">
        <f t="shared" si="4"/>
        <v>0.1268813281036214</v>
      </c>
      <c r="K29" s="48">
        <v>19682.87</v>
      </c>
      <c r="L29" s="52">
        <f t="shared" si="5"/>
        <v>6.1835337021522108E-2</v>
      </c>
      <c r="M29" s="1"/>
      <c r="N29" s="49" t="s">
        <v>117</v>
      </c>
      <c r="O29" s="1"/>
      <c r="P29" s="30" t="s">
        <v>58</v>
      </c>
      <c r="Q29" s="67">
        <v>0.1542</v>
      </c>
      <c r="R29" s="31"/>
    </row>
    <row r="30" spans="2:18" ht="17" thickBot="1" x14ac:dyDescent="0.25">
      <c r="B30" s="46">
        <v>45444</v>
      </c>
      <c r="C30">
        <v>117.02</v>
      </c>
      <c r="D30" s="47">
        <v>5.2699999999999997E-2</v>
      </c>
      <c r="E30" s="52">
        <f t="shared" si="1"/>
        <v>-5.2776428687065002E-2</v>
      </c>
      <c r="F30" s="53">
        <f t="shared" si="2"/>
        <v>4.0427397260273962E-3</v>
      </c>
      <c r="G30" s="51">
        <f t="shared" si="3"/>
        <v>-5.6819168413092397E-2</v>
      </c>
      <c r="I30" s="8">
        <f t="shared" si="0"/>
        <v>117.02</v>
      </c>
      <c r="J30" s="52">
        <f t="shared" si="4"/>
        <v>-5.2776428687065002E-2</v>
      </c>
      <c r="K30" s="48">
        <v>19362.43</v>
      </c>
      <c r="L30" s="52">
        <f t="shared" si="5"/>
        <v>-1.6280146137224838E-2</v>
      </c>
      <c r="M30" s="1"/>
      <c r="N30" s="1"/>
      <c r="O30" s="1"/>
      <c r="P30" s="33"/>
      <c r="Q30" s="68">
        <f>Q28-Q29</f>
        <v>-2.3813544789657026E-3</v>
      </c>
      <c r="R30" s="31">
        <f>IF(Q28&lt;Q29,0,1)</f>
        <v>0</v>
      </c>
    </row>
    <row r="31" spans="2:18" ht="17" thickBot="1" x14ac:dyDescent="0.25">
      <c r="B31" s="46">
        <v>45474</v>
      </c>
      <c r="C31">
        <v>119.37</v>
      </c>
      <c r="D31" s="47">
        <v>5.28E-2</v>
      </c>
      <c r="E31" s="52">
        <f t="shared" si="1"/>
        <v>2.008203725858837E-2</v>
      </c>
      <c r="F31" s="53">
        <f t="shared" si="2"/>
        <v>4.0504109589041097E-3</v>
      </c>
      <c r="G31" s="51">
        <f t="shared" si="3"/>
        <v>1.603162629968426E-2</v>
      </c>
      <c r="H31" s="1"/>
      <c r="I31" s="8">
        <f t="shared" si="0"/>
        <v>119.37</v>
      </c>
      <c r="J31" s="52">
        <f t="shared" si="4"/>
        <v>2.008203725858837E-2</v>
      </c>
      <c r="K31" s="48">
        <v>19574.64</v>
      </c>
      <c r="L31" s="52">
        <f t="shared" si="5"/>
        <v>1.0959884683895416E-2</v>
      </c>
      <c r="M31" s="1"/>
      <c r="N31" s="1"/>
      <c r="O31" s="1"/>
      <c r="P31" s="30"/>
      <c r="Q31" s="69"/>
      <c r="R31" s="133">
        <f>SUM(R10:R30)/8</f>
        <v>0.25</v>
      </c>
    </row>
    <row r="32" spans="2:18" x14ac:dyDescent="0.2">
      <c r="B32" s="46">
        <v>45505</v>
      </c>
      <c r="C32">
        <v>121.44</v>
      </c>
      <c r="D32" s="47">
        <v>5.1799999999999999E-2</v>
      </c>
      <c r="E32" s="52">
        <f t="shared" si="1"/>
        <v>1.7341040462427681E-2</v>
      </c>
      <c r="F32" s="53">
        <f t="shared" si="2"/>
        <v>3.9736986301369863E-3</v>
      </c>
      <c r="G32" s="51">
        <f t="shared" si="3"/>
        <v>1.3367341832290696E-2</v>
      </c>
      <c r="H32" s="1"/>
      <c r="I32" s="8">
        <f t="shared" si="0"/>
        <v>121.44</v>
      </c>
      <c r="J32" s="52">
        <f t="shared" si="4"/>
        <v>1.7341040462427681E-2</v>
      </c>
      <c r="K32" s="48">
        <v>20060.689999999999</v>
      </c>
      <c r="L32" s="52">
        <f t="shared" si="5"/>
        <v>2.4830597139972932E-2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132.76</v>
      </c>
      <c r="D33" s="47">
        <v>4.7399999999999998E-2</v>
      </c>
      <c r="E33" s="52">
        <f t="shared" si="1"/>
        <v>9.3214756258234388E-2</v>
      </c>
      <c r="F33" s="53">
        <f t="shared" si="2"/>
        <v>3.6361643835616433E-3</v>
      </c>
      <c r="G33" s="51">
        <f t="shared" si="3"/>
        <v>8.957859187467275E-2</v>
      </c>
      <c r="H33" s="1"/>
      <c r="I33" s="8">
        <f t="shared" si="0"/>
        <v>132.76</v>
      </c>
      <c r="J33" s="52">
        <f t="shared" si="4"/>
        <v>9.3214756258234388E-2</v>
      </c>
      <c r="K33" s="48">
        <v>19890.41</v>
      </c>
      <c r="L33" s="52">
        <f t="shared" si="5"/>
        <v>-8.4882424283511115E-3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138.25</v>
      </c>
      <c r="D34" s="47">
        <v>4.58E-2</v>
      </c>
      <c r="E34" s="52">
        <f t="shared" si="1"/>
        <v>4.1352817113588403E-2</v>
      </c>
      <c r="F34" s="53">
        <f t="shared" si="2"/>
        <v>3.5134246575342465E-3</v>
      </c>
      <c r="G34" s="51">
        <f t="shared" si="3"/>
        <v>3.7839392456054159E-2</v>
      </c>
      <c r="H34" s="1"/>
      <c r="I34" s="8">
        <f t="shared" si="0"/>
        <v>138.25</v>
      </c>
      <c r="J34" s="52">
        <f t="shared" si="4"/>
        <v>4.1352817113588403E-2</v>
      </c>
      <c r="K34" s="48">
        <v>20930.37</v>
      </c>
      <c r="L34" s="52">
        <f t="shared" si="5"/>
        <v>5.2284492878728939E-2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134.29</v>
      </c>
      <c r="D35" s="47">
        <v>4.5499999999999999E-2</v>
      </c>
      <c r="E35" s="52">
        <f t="shared" si="1"/>
        <v>-2.8643761301989201E-2</v>
      </c>
      <c r="F35" s="53">
        <f t="shared" si="2"/>
        <v>3.4904109589041091E-3</v>
      </c>
      <c r="G35" s="51">
        <f t="shared" si="3"/>
        <v>-3.2134172260893309E-2</v>
      </c>
      <c r="H35" s="1"/>
      <c r="I35" s="8">
        <f t="shared" si="0"/>
        <v>134.29</v>
      </c>
      <c r="J35" s="52">
        <f t="shared" si="4"/>
        <v>-2.8643761301989201E-2</v>
      </c>
      <c r="K35" s="48">
        <v>21012.17</v>
      </c>
      <c r="L35" s="52">
        <f t="shared" si="5"/>
        <v>3.9081965583980249E-3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120.07</v>
      </c>
      <c r="D36" s="47">
        <v>4.2200000000000001E-2</v>
      </c>
      <c r="E36" s="52">
        <f t="shared" si="1"/>
        <v>-0.10589023754561022</v>
      </c>
      <c r="F36" s="53">
        <f t="shared" si="2"/>
        <v>3.2372602739726029E-3</v>
      </c>
      <c r="G36" s="51">
        <f t="shared" si="3"/>
        <v>-0.10912749781958282</v>
      </c>
      <c r="H36" s="1"/>
      <c r="I36" s="8">
        <f t="shared" si="0"/>
        <v>120.07</v>
      </c>
      <c r="J36" s="52">
        <f t="shared" si="4"/>
        <v>-0.10589023754561022</v>
      </c>
      <c r="K36" s="48">
        <v>21478.05</v>
      </c>
      <c r="L36" s="52">
        <f t="shared" si="5"/>
        <v>2.2171912753418566E-2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124.92</v>
      </c>
      <c r="D37" s="47">
        <v>4.2599999999999999E-2</v>
      </c>
      <c r="E37" s="52">
        <f t="shared" si="1"/>
        <v>4.0393104022653503E-2</v>
      </c>
      <c r="F37" s="53">
        <f t="shared" si="2"/>
        <v>3.267945205479452E-3</v>
      </c>
      <c r="G37" s="51">
        <f t="shared" si="3"/>
        <v>3.7125158817174049E-2</v>
      </c>
      <c r="H37" s="1"/>
      <c r="I37" s="8">
        <f t="shared" si="0"/>
        <v>124.92</v>
      </c>
      <c r="J37" s="52">
        <f t="shared" si="4"/>
        <v>4.0393104022653503E-2</v>
      </c>
      <c r="K37" s="48">
        <v>20884.41</v>
      </c>
      <c r="L37" s="52">
        <f t="shared" si="5"/>
        <v>-2.7639380670032909E-2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108.38</v>
      </c>
      <c r="D38" s="47">
        <v>4.24E-2</v>
      </c>
      <c r="E38" s="52">
        <f t="shared" si="1"/>
        <v>-0.13240473903298111</v>
      </c>
      <c r="F38" s="53">
        <f t="shared" si="2"/>
        <v>3.2526027397260277E-3</v>
      </c>
      <c r="G38" s="51">
        <f t="shared" si="3"/>
        <v>-0.13565734177270714</v>
      </c>
      <c r="H38" s="1"/>
      <c r="I38" s="8">
        <f t="shared" si="0"/>
        <v>108.38</v>
      </c>
      <c r="J38" s="52">
        <f t="shared" si="4"/>
        <v>-0.13240473903298111</v>
      </c>
      <c r="K38" s="48">
        <v>19278.45</v>
      </c>
      <c r="L38" s="52">
        <f t="shared" si="5"/>
        <v>-7.6897551810177989E-2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108.92</v>
      </c>
      <c r="D39" s="47">
        <v>4.24E-2</v>
      </c>
      <c r="E39" s="52">
        <f t="shared" si="1"/>
        <v>4.9824690902380286E-3</v>
      </c>
      <c r="F39" s="53">
        <f t="shared" si="2"/>
        <v>3.2526027397260277E-3</v>
      </c>
      <c r="G39" s="51">
        <f t="shared" si="3"/>
        <v>1.729866350512001E-3</v>
      </c>
      <c r="H39" s="1"/>
      <c r="I39" s="8">
        <f t="shared" si="0"/>
        <v>108.92</v>
      </c>
      <c r="J39" s="52">
        <f t="shared" si="4"/>
        <v>4.9824690902380286E-3</v>
      </c>
      <c r="K39" s="48">
        <v>19571.02</v>
      </c>
      <c r="L39" s="52">
        <f t="shared" si="5"/>
        <v>1.51760125943734E-2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135.13</v>
      </c>
      <c r="D40" s="47">
        <v>4.2299999999999997E-2</v>
      </c>
      <c r="E40" s="52">
        <f t="shared" si="1"/>
        <v>0.2406353286816012</v>
      </c>
      <c r="F40" s="53">
        <f t="shared" si="2"/>
        <v>3.2449315068493151E-3</v>
      </c>
      <c r="G40" s="51">
        <f t="shared" si="3"/>
        <v>0.23739039717475188</v>
      </c>
      <c r="H40" s="1"/>
      <c r="I40" s="8">
        <f t="shared" si="0"/>
        <v>135.13</v>
      </c>
      <c r="J40" s="52">
        <f t="shared" si="4"/>
        <v>0.2406353286816012</v>
      </c>
      <c r="K40" s="48">
        <v>21340.99</v>
      </c>
      <c r="L40" s="52">
        <f t="shared" si="5"/>
        <v>9.04383113399303E-2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141.97</v>
      </c>
      <c r="D41" s="47">
        <v>4.2200000000000001E-2</v>
      </c>
      <c r="E41" s="52">
        <f t="shared" si="1"/>
        <v>5.0617923481092397E-2</v>
      </c>
      <c r="F41" s="53">
        <f t="shared" si="2"/>
        <v>3.2372602739726029E-3</v>
      </c>
      <c r="G41" s="51">
        <f t="shared" si="3"/>
        <v>4.7380663207119797E-2</v>
      </c>
      <c r="H41" s="1"/>
      <c r="I41" s="8">
        <f t="shared" si="0"/>
        <v>141.97</v>
      </c>
      <c r="J41" s="52">
        <f t="shared" si="4"/>
        <v>5.0617923481092397E-2</v>
      </c>
      <c r="K41" s="48">
        <v>21913.32</v>
      </c>
      <c r="L41" s="52">
        <f t="shared" si="5"/>
        <v>2.6818343478910656E-2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5.2414455434450141E-2</v>
      </c>
      <c r="H43" s="1"/>
      <c r="I43" s="1"/>
      <c r="J43" s="1"/>
      <c r="K43" s="48" t="s">
        <v>65</v>
      </c>
      <c r="L43" s="82">
        <f>COVAR(J20:J41,L20:L41)</f>
        <v>3.9106423041347068E-3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2.111160292142152E-3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1.8523663592434549</v>
      </c>
    </row>
  </sheetData>
  <mergeCells count="1">
    <mergeCell ref="B4:D4"/>
  </mergeCells>
  <conditionalFormatting sqref="S10">
    <cfRule type="expression" dxfId="550" priority="19">
      <formula>IF($Q$10&gt;$Q$11,1,0)</formula>
    </cfRule>
  </conditionalFormatting>
  <conditionalFormatting sqref="Q10">
    <cfRule type="expression" dxfId="549" priority="10">
      <formula>IF($Q$10&lt;$Q$11,1,0)</formula>
    </cfRule>
    <cfRule type="expression" dxfId="548" priority="18">
      <formula>IF($Q$10&gt;$Q$11,1,0)</formula>
    </cfRule>
  </conditionalFormatting>
  <conditionalFormatting sqref="Q12">
    <cfRule type="expression" dxfId="547" priority="9">
      <formula>IF($Q$12&gt;$Q$13,1,0)</formula>
    </cfRule>
    <cfRule type="expression" dxfId="546" priority="17">
      <formula>IF($Q$12&lt;$Q$13,1,0)</formula>
    </cfRule>
  </conditionalFormatting>
  <conditionalFormatting sqref="Q14">
    <cfRule type="expression" dxfId="545" priority="16">
      <formula>IF($Q$15="Sell",1,0)</formula>
    </cfRule>
  </conditionalFormatting>
  <conditionalFormatting sqref="Q14:Q15">
    <cfRule type="expression" dxfId="544" priority="15">
      <formula>IF($Q$15="Buy",1,0)</formula>
    </cfRule>
  </conditionalFormatting>
  <conditionalFormatting sqref="Q16">
    <cfRule type="expression" dxfId="543" priority="13">
      <formula>IF($Q$16&lt;$Q$17,1,0)</formula>
    </cfRule>
    <cfRule type="expression" dxfId="542" priority="14">
      <formula>IF($Q$16&gt;$Q$17,1,0)</formula>
    </cfRule>
  </conditionalFormatting>
  <conditionalFormatting sqref="Q18">
    <cfRule type="expression" dxfId="541" priority="11">
      <formula>IF($Q$18&lt;$Q$19,1,0)</formula>
    </cfRule>
    <cfRule type="expression" dxfId="540" priority="12">
      <formula>IF($Q$18&gt;$Q$19,1,0)</formula>
    </cfRule>
  </conditionalFormatting>
  <conditionalFormatting sqref="Q23">
    <cfRule type="expression" dxfId="539" priority="7">
      <formula>IF($Q$23&lt;1.1,1,0)</formula>
    </cfRule>
    <cfRule type="expression" dxfId="538" priority="8">
      <formula>IF($Q$23&gt;1.1,1,0)</formula>
    </cfRule>
  </conditionalFormatting>
  <conditionalFormatting sqref="Q26">
    <cfRule type="expression" dxfId="537" priority="5">
      <formula>IF($Q$26&lt;$Q$19,1,0)</formula>
    </cfRule>
    <cfRule type="expression" dxfId="536" priority="6">
      <formula>IF($Q$26&gt;$Q$19,1,0)</formula>
    </cfRule>
  </conditionalFormatting>
  <conditionalFormatting sqref="Q30">
    <cfRule type="expression" dxfId="535" priority="3">
      <formula>IF($Q$28&lt;$Q$29,1,0)</formula>
    </cfRule>
    <cfRule type="expression" dxfId="534" priority="4">
      <formula>IF($Q$28&gt;$Q$29,1,0)</formula>
    </cfRule>
  </conditionalFormatting>
  <conditionalFormatting sqref="R31">
    <cfRule type="expression" dxfId="533" priority="1">
      <formula>IF($R$31&lt;0.485,1,0)</formula>
    </cfRule>
    <cfRule type="expression" dxfId="532" priority="2">
      <formula>IF($R$31&gt;0.49,1,0)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B9311-487E-6D43-8D2D-7F1A097C3C10}">
  <sheetPr codeName="Sheet1"/>
  <dimension ref="B2:F30"/>
  <sheetViews>
    <sheetView workbookViewId="0">
      <selection activeCell="C25" sqref="C25"/>
    </sheetView>
  </sheetViews>
  <sheetFormatPr baseColWidth="10" defaultColWidth="11" defaultRowHeight="16" x14ac:dyDescent="0.2"/>
  <cols>
    <col min="2" max="2" width="54.83203125" bestFit="1" customWidth="1"/>
    <col min="3" max="3" width="15.5" bestFit="1" customWidth="1"/>
    <col min="4" max="4" width="18" bestFit="1" customWidth="1"/>
  </cols>
  <sheetData>
    <row r="2" spans="2:6" x14ac:dyDescent="0.2">
      <c r="B2" s="90" t="s">
        <v>75</v>
      </c>
      <c r="C2" s="1"/>
      <c r="D2" s="1"/>
      <c r="E2" s="1"/>
      <c r="F2" s="1"/>
    </row>
    <row r="3" spans="2:6" x14ac:dyDescent="0.2">
      <c r="B3" s="2" t="s">
        <v>76</v>
      </c>
      <c r="C3" s="2"/>
      <c r="D3" s="1"/>
      <c r="E3" s="1"/>
      <c r="F3" s="1"/>
    </row>
    <row r="4" spans="2:6" x14ac:dyDescent="0.2">
      <c r="B4" s="1"/>
      <c r="C4" s="1"/>
      <c r="D4" s="1"/>
      <c r="E4" s="1"/>
      <c r="F4" s="1"/>
    </row>
    <row r="5" spans="2:6" x14ac:dyDescent="0.2">
      <c r="B5" s="1" t="s">
        <v>77</v>
      </c>
      <c r="C5" s="3">
        <v>3</v>
      </c>
      <c r="D5" s="1"/>
      <c r="E5" s="1"/>
      <c r="F5" s="1"/>
    </row>
    <row r="6" spans="2:6" ht="17" thickBot="1" x14ac:dyDescent="0.25">
      <c r="B6" s="1" t="s">
        <v>78</v>
      </c>
      <c r="C6" s="91">
        <v>2</v>
      </c>
      <c r="D6" s="1" t="s">
        <v>79</v>
      </c>
      <c r="E6" s="1"/>
      <c r="F6" s="1"/>
    </row>
    <row r="7" spans="2:6" ht="35" thickBot="1" x14ac:dyDescent="0.25">
      <c r="B7" s="92" t="s">
        <v>80</v>
      </c>
      <c r="C7" s="93" t="s">
        <v>81</v>
      </c>
      <c r="D7" s="1"/>
      <c r="E7" s="94"/>
      <c r="F7" s="1"/>
    </row>
    <row r="8" spans="2:6" ht="35" thickBot="1" x14ac:dyDescent="0.25">
      <c r="B8" s="95" t="s">
        <v>82</v>
      </c>
      <c r="C8" s="96" t="s">
        <v>83</v>
      </c>
      <c r="D8" s="1"/>
      <c r="E8" s="1"/>
      <c r="F8" s="1"/>
    </row>
    <row r="9" spans="2:6" ht="17" thickBot="1" x14ac:dyDescent="0.25">
      <c r="B9" s="95" t="s">
        <v>84</v>
      </c>
      <c r="C9" s="97">
        <v>45505</v>
      </c>
      <c r="D9" s="1"/>
      <c r="E9" s="1"/>
      <c r="F9" s="1"/>
    </row>
    <row r="10" spans="2:6" ht="17" thickBot="1" x14ac:dyDescent="0.25">
      <c r="B10" s="98" t="s">
        <v>85</v>
      </c>
      <c r="C10" s="99">
        <v>45642</v>
      </c>
      <c r="D10" s="1"/>
      <c r="E10" s="100" t="s">
        <v>86</v>
      </c>
      <c r="F10" s="3" t="s">
        <v>87</v>
      </c>
    </row>
    <row r="11" spans="2:6" x14ac:dyDescent="0.2">
      <c r="B11" s="4" t="s">
        <v>88</v>
      </c>
      <c r="C11" s="101">
        <f>C10-C9+2</f>
        <v>139</v>
      </c>
      <c r="D11" s="1" t="s">
        <v>89</v>
      </c>
      <c r="E11" s="1"/>
      <c r="F11" s="102">
        <v>0.5</v>
      </c>
    </row>
    <row r="12" spans="2:6" x14ac:dyDescent="0.2">
      <c r="B12" s="5" t="s">
        <v>90</v>
      </c>
      <c r="C12" s="103">
        <v>158000000</v>
      </c>
      <c r="D12" s="1"/>
      <c r="E12" s="1"/>
      <c r="F12" s="102"/>
    </row>
    <row r="13" spans="2:6" x14ac:dyDescent="0.2">
      <c r="B13" s="5" t="s">
        <v>91</v>
      </c>
      <c r="C13" s="104">
        <v>0.25</v>
      </c>
      <c r="D13" s="1"/>
      <c r="E13" s="105">
        <v>0.2</v>
      </c>
      <c r="F13" s="102">
        <v>0.5</v>
      </c>
    </row>
    <row r="14" spans="2:6" x14ac:dyDescent="0.2">
      <c r="B14" s="106" t="s">
        <v>0</v>
      </c>
      <c r="C14" s="107">
        <v>0.5</v>
      </c>
      <c r="D14" s="1"/>
      <c r="E14" s="105"/>
      <c r="F14" s="108"/>
    </row>
    <row r="15" spans="2:6" x14ac:dyDescent="0.2">
      <c r="B15" s="106" t="s">
        <v>61</v>
      </c>
      <c r="C15" s="107">
        <v>0.5</v>
      </c>
      <c r="D15" s="1"/>
      <c r="E15" s="105"/>
      <c r="F15" s="108"/>
    </row>
    <row r="16" spans="2:6" x14ac:dyDescent="0.2">
      <c r="B16" s="5" t="s">
        <v>92</v>
      </c>
      <c r="C16" s="104">
        <v>0.75</v>
      </c>
      <c r="D16" s="1"/>
      <c r="E16" s="102">
        <f>1-E13</f>
        <v>0.8</v>
      </c>
      <c r="F16" s="1"/>
    </row>
    <row r="17" spans="2:6" x14ac:dyDescent="0.2">
      <c r="B17" s="5" t="s">
        <v>93</v>
      </c>
      <c r="C17" s="109" t="s">
        <v>94</v>
      </c>
      <c r="D17" s="1"/>
      <c r="E17" s="1"/>
      <c r="F17" s="1"/>
    </row>
    <row r="18" spans="2:6" ht="17" thickBot="1" x14ac:dyDescent="0.25">
      <c r="B18" s="5" t="s">
        <v>95</v>
      </c>
      <c r="C18" s="110">
        <v>4</v>
      </c>
      <c r="D18" s="1"/>
      <c r="E18" s="1"/>
      <c r="F18" s="1"/>
    </row>
    <row r="19" spans="2:6" x14ac:dyDescent="0.2">
      <c r="B19" s="111" t="s">
        <v>96</v>
      </c>
      <c r="C19" s="112"/>
      <c r="D19" s="113"/>
      <c r="E19" s="1"/>
      <c r="F19" s="1"/>
    </row>
    <row r="20" spans="2:6" x14ac:dyDescent="0.2">
      <c r="B20" s="114" t="s">
        <v>97</v>
      </c>
      <c r="C20" s="115" t="s">
        <v>98</v>
      </c>
      <c r="D20" s="116" t="s">
        <v>98</v>
      </c>
      <c r="E20" s="1"/>
      <c r="F20" s="1"/>
    </row>
    <row r="21" spans="2:6" x14ac:dyDescent="0.2">
      <c r="B21" s="117" t="s">
        <v>99</v>
      </c>
      <c r="C21" s="3" t="s">
        <v>100</v>
      </c>
      <c r="D21" s="109" t="s">
        <v>101</v>
      </c>
      <c r="E21" s="1"/>
      <c r="F21" s="1"/>
    </row>
    <row r="22" spans="2:6" x14ac:dyDescent="0.2">
      <c r="B22" s="114" t="s">
        <v>102</v>
      </c>
      <c r="C22" s="118">
        <v>10</v>
      </c>
      <c r="D22" s="119">
        <v>30</v>
      </c>
      <c r="E22" s="1"/>
      <c r="F22" s="1"/>
    </row>
    <row r="23" spans="2:6" x14ac:dyDescent="0.2">
      <c r="B23" s="114" t="s">
        <v>103</v>
      </c>
      <c r="C23" s="120">
        <v>100</v>
      </c>
      <c r="D23" s="121">
        <v>100</v>
      </c>
      <c r="E23" s="1"/>
      <c r="F23" s="1"/>
    </row>
    <row r="24" spans="2:6" x14ac:dyDescent="0.2">
      <c r="B24" s="117" t="s">
        <v>104</v>
      </c>
      <c r="C24" s="3" t="s">
        <v>105</v>
      </c>
      <c r="D24" s="109" t="s">
        <v>106</v>
      </c>
      <c r="E24" s="1"/>
      <c r="F24" s="1"/>
    </row>
    <row r="25" spans="2:6" x14ac:dyDescent="0.2">
      <c r="B25" s="114" t="s">
        <v>107</v>
      </c>
      <c r="C25" s="122" t="s">
        <v>108</v>
      </c>
      <c r="D25" s="123" t="s">
        <v>108</v>
      </c>
      <c r="E25" s="1"/>
      <c r="F25" s="1"/>
    </row>
    <row r="26" spans="2:6" x14ac:dyDescent="0.2">
      <c r="B26" s="114" t="s">
        <v>109</v>
      </c>
      <c r="C26" s="124" t="s">
        <v>110</v>
      </c>
      <c r="D26" s="125" t="s">
        <v>110</v>
      </c>
      <c r="E26" s="1"/>
      <c r="F26" s="1"/>
    </row>
    <row r="27" spans="2:6" ht="17" thickBot="1" x14ac:dyDescent="0.25">
      <c r="B27" s="6"/>
      <c r="C27" s="170" t="s">
        <v>111</v>
      </c>
      <c r="D27" s="171"/>
      <c r="E27" s="1"/>
      <c r="F27" s="1"/>
    </row>
    <row r="28" spans="2:6" x14ac:dyDescent="0.2">
      <c r="B28" s="4" t="s">
        <v>112</v>
      </c>
      <c r="C28" s="126"/>
      <c r="D28" s="113"/>
      <c r="E28" s="1"/>
      <c r="F28" s="1"/>
    </row>
    <row r="29" spans="2:6" x14ac:dyDescent="0.2">
      <c r="B29" s="5" t="s">
        <v>113</v>
      </c>
      <c r="C29" s="1"/>
      <c r="D29" s="12"/>
      <c r="E29" s="1"/>
      <c r="F29" s="1"/>
    </row>
    <row r="30" spans="2:6" ht="17" thickBot="1" x14ac:dyDescent="0.25">
      <c r="B30" s="6" t="s">
        <v>114</v>
      </c>
      <c r="C30" s="127"/>
      <c r="D30" s="15"/>
      <c r="E30" s="1"/>
      <c r="F30" s="1"/>
    </row>
  </sheetData>
  <mergeCells count="1">
    <mergeCell ref="C27:D2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0966D-2985-4C4F-9CFF-41DFC7DF4B26}">
  <sheetPr codeName="Sheet3"/>
  <dimension ref="B2:S45"/>
  <sheetViews>
    <sheetView zoomScale="81" zoomScaleNormal="111" workbookViewId="0"/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4.16406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30.83203125" bestFit="1" customWidth="1"/>
  </cols>
  <sheetData>
    <row r="2" spans="2:18" ht="24" x14ac:dyDescent="0.3">
      <c r="B2" s="7" t="s">
        <v>68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137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BA</v>
      </c>
      <c r="R5" s="8"/>
    </row>
    <row r="6" spans="2:18" x14ac:dyDescent="0.2">
      <c r="B6" s="1" t="s">
        <v>4</v>
      </c>
      <c r="C6" s="1" t="s">
        <v>62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">
        <v>62</v>
      </c>
      <c r="R6" s="8"/>
    </row>
    <row r="7" spans="2:18" x14ac:dyDescent="0.2">
      <c r="B7" s="1" t="s">
        <v>7</v>
      </c>
      <c r="C7" s="13">
        <v>45635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115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169.95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88">
        <v>-11.33</v>
      </c>
      <c r="R10" s="25"/>
    </row>
    <row r="11" spans="2:18" x14ac:dyDescent="0.2">
      <c r="B11" s="1" t="s">
        <v>24</v>
      </c>
      <c r="C11" s="26">
        <v>4.2599999999999999E-2</v>
      </c>
      <c r="D11" s="27"/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29.19</v>
      </c>
      <c r="R11" s="31">
        <v>1</v>
      </c>
    </row>
    <row r="12" spans="2:18" x14ac:dyDescent="0.2">
      <c r="B12" s="1" t="s">
        <v>26</v>
      </c>
      <c r="C12" s="32">
        <v>0.89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87">
        <v>-10.44</v>
      </c>
      <c r="R12" s="25"/>
    </row>
    <row r="13" spans="2:18" x14ac:dyDescent="0.2">
      <c r="B13" s="1" t="s">
        <v>30</v>
      </c>
      <c r="C13" s="26">
        <f>G43</f>
        <v>9.9327168420806928E-3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-10.33</v>
      </c>
      <c r="R13" s="35">
        <v>0</v>
      </c>
    </row>
    <row r="14" spans="2:18" x14ac:dyDescent="0.2">
      <c r="B14" s="1" t="s">
        <v>32</v>
      </c>
      <c r="C14" s="36">
        <f>C11+(C12*C13)</f>
        <v>5.144011798945182E-2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85">
        <v>-11.5</v>
      </c>
      <c r="R14" s="31"/>
    </row>
    <row r="15" spans="2:18" ht="19" x14ac:dyDescent="0.25">
      <c r="B15" s="1" t="s">
        <v>36</v>
      </c>
      <c r="C15" s="39">
        <f>C10*(1+C14)</f>
        <v>178.69224805230735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27</v>
      </c>
      <c r="O16" s="22" t="s">
        <v>22</v>
      </c>
      <c r="P16" s="23" t="s">
        <v>37</v>
      </c>
      <c r="Q16" s="41">
        <v>-26.28</v>
      </c>
      <c r="R16" s="25"/>
    </row>
    <row r="17" spans="2:19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35.5</v>
      </c>
      <c r="R17" s="42">
        <v>0</v>
      </c>
    </row>
    <row r="18" spans="2:19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">
        <v>74</v>
      </c>
      <c r="J18" s="34" t="s">
        <v>45</v>
      </c>
      <c r="K18" s="34" t="s">
        <v>64</v>
      </c>
      <c r="L18" s="34" t="s">
        <v>46</v>
      </c>
      <c r="M18" s="1"/>
      <c r="N18" s="21"/>
      <c r="O18" s="22"/>
      <c r="P18" s="23" t="s">
        <v>47</v>
      </c>
      <c r="Q18" s="45">
        <f>C14</f>
        <v>5.144011798945182E-2</v>
      </c>
      <c r="R18" s="25"/>
    </row>
    <row r="19" spans="2:19" x14ac:dyDescent="0.2">
      <c r="B19" s="46">
        <v>44743</v>
      </c>
      <c r="C19">
        <v>159.31</v>
      </c>
      <c r="D19" s="47">
        <v>2.1600000000000001E-2</v>
      </c>
      <c r="E19" s="1"/>
      <c r="F19" s="1"/>
      <c r="G19" s="1"/>
      <c r="H19" s="1"/>
      <c r="I19" s="8">
        <f>C19</f>
        <v>159.31</v>
      </c>
      <c r="J19" s="8"/>
      <c r="K19" s="48">
        <v>12947.98</v>
      </c>
      <c r="L19" s="8"/>
      <c r="M19" s="1"/>
      <c r="N19" s="49"/>
      <c r="O19" s="50" t="s">
        <v>48</v>
      </c>
      <c r="P19" s="30" t="s">
        <v>8</v>
      </c>
      <c r="Q19" s="51">
        <f>C11</f>
        <v>4.2599999999999999E-2</v>
      </c>
      <c r="R19" s="31"/>
    </row>
    <row r="20" spans="2:19" x14ac:dyDescent="0.2">
      <c r="B20" s="46">
        <v>44774</v>
      </c>
      <c r="C20">
        <v>160.25</v>
      </c>
      <c r="D20" s="47">
        <v>2.29E-2</v>
      </c>
      <c r="E20" s="52">
        <f>C20/C19-1</f>
        <v>5.9004456719602416E-3</v>
      </c>
      <c r="F20" s="53">
        <f>D20/365*28</f>
        <v>1.7567123287671232E-3</v>
      </c>
      <c r="G20" s="51">
        <f>E20-F20</f>
        <v>4.1437333431931182E-3</v>
      </c>
      <c r="H20" s="1"/>
      <c r="I20" s="8">
        <f t="shared" ref="I20:I42" si="0">C20</f>
        <v>160.25</v>
      </c>
      <c r="J20" s="52">
        <f>I20/I19-1</f>
        <v>5.9004456719602416E-3</v>
      </c>
      <c r="K20" s="48">
        <v>12272.03</v>
      </c>
      <c r="L20" s="52">
        <f>K20/K19-1</f>
        <v>-5.2205054379138582E-2</v>
      </c>
      <c r="M20" s="1"/>
      <c r="N20" s="49"/>
      <c r="O20" s="50" t="s">
        <v>49</v>
      </c>
      <c r="P20" s="30" t="s">
        <v>26</v>
      </c>
      <c r="Q20" s="54"/>
      <c r="R20" s="31"/>
    </row>
    <row r="21" spans="2:19" x14ac:dyDescent="0.2">
      <c r="B21" s="46">
        <v>44805</v>
      </c>
      <c r="C21">
        <v>121.08</v>
      </c>
      <c r="D21" s="47">
        <v>2.7E-2</v>
      </c>
      <c r="E21" s="52">
        <f t="shared" ref="E21:E41" si="1">C21/C20-1</f>
        <v>-0.24443057722308892</v>
      </c>
      <c r="F21" s="53">
        <f t="shared" ref="F21:F41" si="2">D21/365*28</f>
        <v>2.0712328767123287E-3</v>
      </c>
      <c r="G21" s="51">
        <f t="shared" ref="G21:G42" si="3">E21-F21</f>
        <v>-0.24650181009980124</v>
      </c>
      <c r="H21" s="1"/>
      <c r="I21" s="8">
        <f t="shared" si="0"/>
        <v>121.08</v>
      </c>
      <c r="J21" s="52">
        <f t="shared" ref="J21:J42" si="4">I21/I20-1</f>
        <v>-0.24443057722308892</v>
      </c>
      <c r="K21" s="48">
        <v>10971.22</v>
      </c>
      <c r="L21" s="52">
        <f t="shared" ref="L21:L42" si="5">K21/K20-1</f>
        <v>-0.10599794817972263</v>
      </c>
      <c r="M21" s="1"/>
      <c r="N21" s="49"/>
      <c r="O21" s="50" t="s">
        <v>48</v>
      </c>
      <c r="P21" s="30" t="s">
        <v>30</v>
      </c>
      <c r="Q21" s="55"/>
      <c r="R21" s="31"/>
    </row>
    <row r="22" spans="2:19" x14ac:dyDescent="0.2">
      <c r="B22" s="46">
        <v>44835</v>
      </c>
      <c r="C22">
        <v>142.51</v>
      </c>
      <c r="D22" s="47">
        <v>3.5700000000000003E-2</v>
      </c>
      <c r="E22" s="52">
        <f t="shared" si="1"/>
        <v>0.17699041955731731</v>
      </c>
      <c r="F22" s="53">
        <f t="shared" si="2"/>
        <v>2.7386301369863018E-3</v>
      </c>
      <c r="G22" s="51">
        <f t="shared" si="3"/>
        <v>0.17425178942033101</v>
      </c>
      <c r="H22" s="1"/>
      <c r="I22" s="8">
        <f t="shared" si="0"/>
        <v>142.51</v>
      </c>
      <c r="J22" s="52">
        <f t="shared" si="4"/>
        <v>0.17699041955731731</v>
      </c>
      <c r="K22" s="48">
        <v>11405.57</v>
      </c>
      <c r="L22" s="52">
        <f t="shared" si="5"/>
        <v>3.9589945329689957E-2</v>
      </c>
      <c r="M22" s="1"/>
      <c r="N22" s="28" t="s">
        <v>50</v>
      </c>
      <c r="O22" s="29"/>
      <c r="P22" s="33"/>
      <c r="Q22" s="56"/>
      <c r="R22" s="35">
        <v>1</v>
      </c>
    </row>
    <row r="23" spans="2:19" x14ac:dyDescent="0.2">
      <c r="B23" s="46">
        <v>44866</v>
      </c>
      <c r="C23">
        <v>178.88</v>
      </c>
      <c r="D23" s="47">
        <v>3.9100000000000003E-2</v>
      </c>
      <c r="E23" s="52">
        <f t="shared" si="1"/>
        <v>0.25521016069047797</v>
      </c>
      <c r="F23" s="53">
        <f t="shared" si="2"/>
        <v>2.999452054794521E-3</v>
      </c>
      <c r="G23" s="51">
        <f t="shared" si="3"/>
        <v>0.25221070863568346</v>
      </c>
      <c r="H23" s="1"/>
      <c r="I23" s="8">
        <f t="shared" si="0"/>
        <v>178.88</v>
      </c>
      <c r="J23" s="52">
        <f t="shared" si="4"/>
        <v>0.25521016069047797</v>
      </c>
      <c r="K23" s="48">
        <v>12030.06</v>
      </c>
      <c r="L23" s="52">
        <f t="shared" si="5"/>
        <v>5.4753072402343728E-2</v>
      </c>
      <c r="M23" s="1"/>
      <c r="N23" s="57" t="s">
        <v>51</v>
      </c>
      <c r="O23" s="58" t="s">
        <v>52</v>
      </c>
      <c r="P23" s="59" t="s">
        <v>44</v>
      </c>
      <c r="Q23" s="60">
        <v>1.57</v>
      </c>
      <c r="R23" s="61">
        <v>0</v>
      </c>
    </row>
    <row r="24" spans="2:19" x14ac:dyDescent="0.2">
      <c r="B24" s="46">
        <v>44896</v>
      </c>
      <c r="C24">
        <v>190.49</v>
      </c>
      <c r="D24" s="47">
        <v>3.95E-2</v>
      </c>
      <c r="E24" s="52">
        <f t="shared" si="1"/>
        <v>6.4903846153846256E-2</v>
      </c>
      <c r="F24" s="53">
        <f t="shared" si="2"/>
        <v>3.0301369863013697E-3</v>
      </c>
      <c r="G24" s="51">
        <f t="shared" si="3"/>
        <v>6.1873709167544887E-2</v>
      </c>
      <c r="H24" s="1"/>
      <c r="I24" s="8">
        <f t="shared" si="0"/>
        <v>190.49</v>
      </c>
      <c r="J24" s="52">
        <f t="shared" si="4"/>
        <v>6.4903846153846256E-2</v>
      </c>
      <c r="K24" s="48">
        <v>10939.76</v>
      </c>
      <c r="L24" s="52">
        <f t="shared" si="5"/>
        <v>-9.0631301922018626E-2</v>
      </c>
      <c r="M24" s="1"/>
      <c r="N24" s="62"/>
      <c r="O24" s="22" t="s">
        <v>52</v>
      </c>
      <c r="P24" s="23" t="s">
        <v>53</v>
      </c>
      <c r="Q24" s="63"/>
      <c r="R24" s="25"/>
    </row>
    <row r="25" spans="2:19" x14ac:dyDescent="0.2">
      <c r="B25" s="46">
        <v>44927</v>
      </c>
      <c r="C25">
        <v>213</v>
      </c>
      <c r="D25" s="47">
        <v>4.4499999999999998E-2</v>
      </c>
      <c r="E25" s="52">
        <f t="shared" si="1"/>
        <v>0.11816893275237539</v>
      </c>
      <c r="F25" s="53">
        <f t="shared" si="2"/>
        <v>3.4136986301369862E-3</v>
      </c>
      <c r="G25" s="51">
        <f t="shared" si="3"/>
        <v>0.1147552341222384</v>
      </c>
      <c r="H25" s="1"/>
      <c r="I25" s="8">
        <f t="shared" si="0"/>
        <v>213</v>
      </c>
      <c r="J25" s="52">
        <f t="shared" si="4"/>
        <v>0.11816893275237539</v>
      </c>
      <c r="K25" s="48">
        <v>12101.93</v>
      </c>
      <c r="L25" s="52">
        <f t="shared" si="5"/>
        <v>0.10623359196179805</v>
      </c>
      <c r="M25" s="1"/>
      <c r="N25" s="30"/>
      <c r="O25" s="64"/>
      <c r="P25" s="30" t="s">
        <v>23</v>
      </c>
      <c r="Q25" s="65">
        <f>Q10</f>
        <v>-11.33</v>
      </c>
      <c r="R25" s="31"/>
    </row>
    <row r="26" spans="2:19" x14ac:dyDescent="0.2">
      <c r="B26" s="46">
        <v>44958</v>
      </c>
      <c r="C26">
        <v>201.55</v>
      </c>
      <c r="D26" s="47">
        <v>4.5199999999999997E-2</v>
      </c>
      <c r="E26" s="52">
        <f t="shared" si="1"/>
        <v>-5.3755868544600904E-2</v>
      </c>
      <c r="F26" s="53">
        <f t="shared" si="2"/>
        <v>3.4673972602739722E-3</v>
      </c>
      <c r="G26" s="51">
        <f t="shared" si="3"/>
        <v>-5.7223265804874877E-2</v>
      </c>
      <c r="H26" s="1"/>
      <c r="I26" s="8">
        <f t="shared" si="0"/>
        <v>201.55</v>
      </c>
      <c r="J26" s="52">
        <f t="shared" si="4"/>
        <v>-5.3755868544600904E-2</v>
      </c>
      <c r="K26" s="48">
        <v>12042.12</v>
      </c>
      <c r="L26" s="52">
        <f t="shared" si="5"/>
        <v>-4.942186907377577E-3</v>
      </c>
      <c r="M26" s="1"/>
      <c r="N26" s="49" t="s">
        <v>54</v>
      </c>
      <c r="O26" s="64"/>
      <c r="P26" s="30" t="s">
        <v>55</v>
      </c>
      <c r="Q26" s="66">
        <f>1/Q25</f>
        <v>-8.8261253309797005E-2</v>
      </c>
      <c r="R26" s="31">
        <v>0</v>
      </c>
      <c r="S26" s="130"/>
    </row>
    <row r="27" spans="2:19" x14ac:dyDescent="0.2">
      <c r="B27" s="46">
        <v>44986</v>
      </c>
      <c r="C27">
        <v>212.43</v>
      </c>
      <c r="D27" s="47">
        <v>4.5999999999999999E-2</v>
      </c>
      <c r="E27" s="52">
        <f t="shared" si="1"/>
        <v>5.3981642272388886E-2</v>
      </c>
      <c r="F27" s="53">
        <f t="shared" si="2"/>
        <v>3.5287671232876708E-3</v>
      </c>
      <c r="G27" s="51">
        <f t="shared" si="3"/>
        <v>5.0452875149101212E-2</v>
      </c>
      <c r="H27" s="1"/>
      <c r="I27" s="8">
        <f t="shared" si="0"/>
        <v>212.43</v>
      </c>
      <c r="J27" s="52">
        <f t="shared" si="4"/>
        <v>5.3981642272388886E-2</v>
      </c>
      <c r="K27" s="48">
        <v>13181.35</v>
      </c>
      <c r="L27" s="52">
        <f t="shared" si="5"/>
        <v>9.4603774086290393E-2</v>
      </c>
      <c r="M27" s="1"/>
      <c r="N27" s="62"/>
      <c r="O27" s="63"/>
      <c r="P27" s="23" t="s">
        <v>56</v>
      </c>
      <c r="Q27" s="63"/>
      <c r="R27" s="25"/>
    </row>
    <row r="28" spans="2:19" x14ac:dyDescent="0.2">
      <c r="B28" s="46">
        <v>45017</v>
      </c>
      <c r="C28">
        <v>206.78</v>
      </c>
      <c r="D28" s="47">
        <v>4.2299999999999997E-2</v>
      </c>
      <c r="E28" s="52">
        <f t="shared" si="1"/>
        <v>-2.6596996657722527E-2</v>
      </c>
      <c r="F28" s="53">
        <f t="shared" si="2"/>
        <v>3.2449315068493151E-3</v>
      </c>
      <c r="G28" s="51">
        <f t="shared" si="3"/>
        <v>-2.9841928164571842E-2</v>
      </c>
      <c r="H28" s="1"/>
      <c r="I28" s="8">
        <f t="shared" si="0"/>
        <v>206.78</v>
      </c>
      <c r="J28" s="52">
        <f t="shared" si="4"/>
        <v>-2.6596996657722527E-2</v>
      </c>
      <c r="K28" s="48">
        <v>13245.99</v>
      </c>
      <c r="L28" s="52">
        <f t="shared" si="5"/>
        <v>4.9038983108709022E-3</v>
      </c>
      <c r="M28" s="1"/>
      <c r="N28" s="30"/>
      <c r="O28" s="1"/>
      <c r="P28" s="30" t="s">
        <v>57</v>
      </c>
      <c r="Q28" s="51">
        <f>Q18</f>
        <v>5.144011798945182E-2</v>
      </c>
      <c r="R28" s="31"/>
    </row>
    <row r="29" spans="2:19" x14ac:dyDescent="0.2">
      <c r="B29" s="46">
        <v>45047</v>
      </c>
      <c r="C29">
        <v>205.7</v>
      </c>
      <c r="D29" s="47">
        <v>5.0799999999999998E-2</v>
      </c>
      <c r="E29" s="52">
        <f t="shared" si="1"/>
        <v>-5.2229422574717743E-3</v>
      </c>
      <c r="F29" s="53">
        <f t="shared" si="2"/>
        <v>3.8969863013698625E-3</v>
      </c>
      <c r="G29" s="51">
        <f t="shared" si="3"/>
        <v>-9.1199285588416373E-3</v>
      </c>
      <c r="H29" s="1"/>
      <c r="I29" s="8">
        <f t="shared" si="0"/>
        <v>205.7</v>
      </c>
      <c r="J29" s="52">
        <f t="shared" si="4"/>
        <v>-5.2229422574717743E-3</v>
      </c>
      <c r="K29" s="48">
        <v>14254.09</v>
      </c>
      <c r="L29" s="52">
        <f t="shared" si="5"/>
        <v>7.6106051718293655E-2</v>
      </c>
      <c r="M29" s="1"/>
      <c r="N29" s="30"/>
      <c r="O29" s="1"/>
      <c r="P29" s="30" t="s">
        <v>58</v>
      </c>
      <c r="Q29" s="67">
        <v>0.23530000000000001</v>
      </c>
      <c r="R29" s="31"/>
    </row>
    <row r="30" spans="2:19" ht="17" thickBot="1" x14ac:dyDescent="0.25">
      <c r="B30" s="46">
        <v>45078</v>
      </c>
      <c r="C30">
        <v>211.16</v>
      </c>
      <c r="D30" s="47">
        <v>5.0799999999999998E-2</v>
      </c>
      <c r="E30" s="52">
        <f t="shared" si="1"/>
        <v>2.654350996596988E-2</v>
      </c>
      <c r="F30" s="53">
        <f t="shared" si="2"/>
        <v>3.8969863013698625E-3</v>
      </c>
      <c r="G30" s="51">
        <f t="shared" si="3"/>
        <v>2.2646523664600019E-2</v>
      </c>
      <c r="I30" s="8">
        <f t="shared" si="0"/>
        <v>211.16</v>
      </c>
      <c r="J30" s="52">
        <f t="shared" si="4"/>
        <v>2.654350996596988E-2</v>
      </c>
      <c r="K30" s="48">
        <v>15179.21</v>
      </c>
      <c r="L30" s="52">
        <f t="shared" si="5"/>
        <v>6.4902073720595199E-2</v>
      </c>
      <c r="M30" s="1"/>
      <c r="N30" s="1"/>
      <c r="O30" s="1"/>
      <c r="P30" s="33"/>
      <c r="Q30" s="129">
        <f>Q28-Q29</f>
        <v>-0.1838598820105482</v>
      </c>
      <c r="R30" s="31">
        <v>0</v>
      </c>
    </row>
    <row r="31" spans="2:19" ht="17" thickBot="1" x14ac:dyDescent="0.25">
      <c r="B31" s="46">
        <v>45108</v>
      </c>
      <c r="C31">
        <v>238.85</v>
      </c>
      <c r="D31" s="47">
        <v>5.2699999999999997E-2</v>
      </c>
      <c r="E31" s="52">
        <f t="shared" si="1"/>
        <v>0.1311327903011934</v>
      </c>
      <c r="F31" s="53">
        <f t="shared" si="2"/>
        <v>4.0427397260273962E-3</v>
      </c>
      <c r="G31" s="51">
        <f t="shared" si="3"/>
        <v>0.12709005057516601</v>
      </c>
      <c r="H31" s="1"/>
      <c r="I31" s="8">
        <f t="shared" si="0"/>
        <v>238.85</v>
      </c>
      <c r="J31" s="52">
        <f t="shared" si="4"/>
        <v>0.1311327903011934</v>
      </c>
      <c r="K31" s="48">
        <v>15757</v>
      </c>
      <c r="L31" s="52">
        <f t="shared" si="5"/>
        <v>3.8064563307313115E-2</v>
      </c>
      <c r="M31" s="1"/>
      <c r="N31" s="1"/>
      <c r="O31" s="1"/>
      <c r="P31" s="30"/>
      <c r="Q31" s="69"/>
      <c r="R31" s="70">
        <f>SUM(R10:R30)/8</f>
        <v>0.25</v>
      </c>
    </row>
    <row r="32" spans="2:19" x14ac:dyDescent="0.2">
      <c r="B32" s="46">
        <v>45139</v>
      </c>
      <c r="C32">
        <v>224.03</v>
      </c>
      <c r="D32" s="47">
        <v>5.28E-2</v>
      </c>
      <c r="E32" s="52">
        <f t="shared" si="1"/>
        <v>-6.2047310027213753E-2</v>
      </c>
      <c r="F32" s="53">
        <f t="shared" si="2"/>
        <v>4.0504109589041097E-3</v>
      </c>
      <c r="G32" s="51">
        <f t="shared" si="3"/>
        <v>-6.6097720986117867E-2</v>
      </c>
      <c r="H32" s="1"/>
      <c r="I32" s="8">
        <f t="shared" si="0"/>
        <v>224.03</v>
      </c>
      <c r="J32" s="52">
        <f t="shared" si="4"/>
        <v>-6.2047310027213753E-2</v>
      </c>
      <c r="K32" s="48">
        <v>15501.07</v>
      </c>
      <c r="L32" s="52">
        <f t="shared" si="5"/>
        <v>-1.6242305007298397E-2</v>
      </c>
      <c r="M32" s="1"/>
      <c r="N32" s="1"/>
      <c r="O32" s="1"/>
      <c r="P32" s="71" t="s">
        <v>71</v>
      </c>
      <c r="Q32" s="72"/>
      <c r="R32" s="73"/>
    </row>
    <row r="33" spans="2:18" x14ac:dyDescent="0.2">
      <c r="B33" s="46">
        <v>45170</v>
      </c>
      <c r="C33">
        <v>191.68</v>
      </c>
      <c r="D33" s="47">
        <v>5.2900000000000003E-2</v>
      </c>
      <c r="E33" s="52">
        <f t="shared" si="1"/>
        <v>-0.14440030353077715</v>
      </c>
      <c r="F33" s="53">
        <f t="shared" si="2"/>
        <v>4.0580821917808214E-3</v>
      </c>
      <c r="G33" s="51">
        <f t="shared" si="3"/>
        <v>-0.14845838572255798</v>
      </c>
      <c r="H33" s="1"/>
      <c r="I33" s="8">
        <f t="shared" si="0"/>
        <v>191.68</v>
      </c>
      <c r="J33" s="52">
        <f t="shared" si="4"/>
        <v>-0.14440030353077715</v>
      </c>
      <c r="K33" s="48">
        <v>14715.24</v>
      </c>
      <c r="L33" s="52">
        <f t="shared" si="5"/>
        <v>-5.0695210072595032E-2</v>
      </c>
      <c r="M33" s="1"/>
      <c r="N33" s="1"/>
      <c r="O33" s="1"/>
      <c r="P33" s="74" t="s">
        <v>72</v>
      </c>
      <c r="Q33" s="75"/>
      <c r="R33" s="76"/>
    </row>
    <row r="34" spans="2:18" ht="17" thickBot="1" x14ac:dyDescent="0.25">
      <c r="B34" s="46">
        <v>45200</v>
      </c>
      <c r="C34">
        <v>186.82</v>
      </c>
      <c r="D34" s="47">
        <v>5.2900000000000003E-2</v>
      </c>
      <c r="E34" s="52">
        <f t="shared" si="1"/>
        <v>-2.5354757929883176E-2</v>
      </c>
      <c r="F34" s="53">
        <f t="shared" si="2"/>
        <v>4.0580821917808214E-3</v>
      </c>
      <c r="G34" s="51">
        <f t="shared" si="3"/>
        <v>-2.9412840121663997E-2</v>
      </c>
      <c r="H34" s="1"/>
      <c r="I34" s="8">
        <f t="shared" si="0"/>
        <v>186.82</v>
      </c>
      <c r="J34" s="52">
        <f t="shared" si="4"/>
        <v>-2.5354757929883176E-2</v>
      </c>
      <c r="K34" s="48">
        <v>14409.78</v>
      </c>
      <c r="L34" s="52">
        <f t="shared" si="5"/>
        <v>-2.0758071224118657E-2</v>
      </c>
      <c r="M34" s="1"/>
      <c r="N34" s="1"/>
      <c r="O34" s="1"/>
      <c r="P34" s="77"/>
      <c r="Q34" s="78"/>
      <c r="R34" s="79"/>
    </row>
    <row r="35" spans="2:18" x14ac:dyDescent="0.2">
      <c r="B35" s="46">
        <v>45231</v>
      </c>
      <c r="C35">
        <v>231.63</v>
      </c>
      <c r="D35" s="47">
        <v>5.2900000000000003E-2</v>
      </c>
      <c r="E35" s="52">
        <f t="shared" si="1"/>
        <v>0.23985654640830756</v>
      </c>
      <c r="F35" s="53">
        <f t="shared" si="2"/>
        <v>4.0580821917808214E-3</v>
      </c>
      <c r="G35" s="51">
        <f t="shared" si="3"/>
        <v>0.23579846421652673</v>
      </c>
      <c r="H35" s="1"/>
      <c r="I35" s="8">
        <f t="shared" si="0"/>
        <v>231.63</v>
      </c>
      <c r="J35" s="52">
        <f t="shared" si="4"/>
        <v>0.23985654640830756</v>
      </c>
      <c r="K35" s="48">
        <v>15947.87</v>
      </c>
      <c r="L35" s="52">
        <f t="shared" si="5"/>
        <v>0.10673931177297646</v>
      </c>
      <c r="M35" s="1"/>
      <c r="N35" s="1"/>
      <c r="O35" s="1"/>
      <c r="P35" s="1"/>
      <c r="Q35" s="1"/>
      <c r="R35" s="8"/>
    </row>
    <row r="36" spans="2:18" x14ac:dyDescent="0.2">
      <c r="B36" s="46">
        <v>45261</v>
      </c>
      <c r="C36">
        <v>260.66000000000003</v>
      </c>
      <c r="D36" s="47">
        <v>5.33E-2</v>
      </c>
      <c r="E36" s="52">
        <f t="shared" si="1"/>
        <v>0.12532918879247079</v>
      </c>
      <c r="F36" s="53">
        <f t="shared" si="2"/>
        <v>4.0887671232876718E-3</v>
      </c>
      <c r="G36" s="51">
        <f t="shared" si="3"/>
        <v>0.12124042166918311</v>
      </c>
      <c r="H36" s="1"/>
      <c r="I36" s="8">
        <f t="shared" si="0"/>
        <v>260.66000000000003</v>
      </c>
      <c r="J36" s="52">
        <f t="shared" si="4"/>
        <v>0.12532918879247079</v>
      </c>
      <c r="K36" s="48">
        <v>16825.93</v>
      </c>
      <c r="L36" s="52">
        <f t="shared" si="5"/>
        <v>5.5058136290300874E-2</v>
      </c>
      <c r="M36" s="1"/>
      <c r="N36" s="1"/>
      <c r="O36" s="1"/>
      <c r="P36" s="1"/>
      <c r="Q36" s="1"/>
      <c r="R36" s="8"/>
    </row>
    <row r="37" spans="2:18" x14ac:dyDescent="0.2">
      <c r="B37" s="46">
        <v>45292</v>
      </c>
      <c r="C37">
        <v>211.04</v>
      </c>
      <c r="D37" s="47">
        <v>5.2699999999999997E-2</v>
      </c>
      <c r="E37" s="52">
        <f t="shared" si="1"/>
        <v>-0.19036292488298945</v>
      </c>
      <c r="F37" s="53">
        <f t="shared" si="2"/>
        <v>4.0427397260273962E-3</v>
      </c>
      <c r="G37" s="51">
        <f t="shared" si="3"/>
        <v>-0.19440566460901684</v>
      </c>
      <c r="H37" s="1"/>
      <c r="I37" s="8">
        <f t="shared" si="0"/>
        <v>211.04</v>
      </c>
      <c r="J37" s="52">
        <f t="shared" si="4"/>
        <v>-0.19036292488298945</v>
      </c>
      <c r="K37" s="48">
        <v>17137.240000000002</v>
      </c>
      <c r="L37" s="52">
        <f t="shared" si="5"/>
        <v>1.8501800494831633E-2</v>
      </c>
      <c r="M37" s="1"/>
      <c r="N37" s="1"/>
      <c r="O37" s="1"/>
      <c r="P37" s="1"/>
      <c r="Q37" s="1"/>
      <c r="R37" s="8"/>
    </row>
    <row r="38" spans="2:18" x14ac:dyDescent="0.2">
      <c r="B38" s="46">
        <v>45323</v>
      </c>
      <c r="C38">
        <v>203.72</v>
      </c>
      <c r="D38" s="47">
        <v>5.2999999999999999E-2</v>
      </c>
      <c r="E38" s="52">
        <f t="shared" si="1"/>
        <v>-3.468536770280517E-2</v>
      </c>
      <c r="F38" s="53">
        <f t="shared" si="2"/>
        <v>4.0657534246575349E-3</v>
      </c>
      <c r="G38" s="51">
        <f t="shared" si="3"/>
        <v>-3.8751121127462707E-2</v>
      </c>
      <c r="H38" s="1"/>
      <c r="I38" s="8">
        <f t="shared" si="0"/>
        <v>203.72</v>
      </c>
      <c r="J38" s="52">
        <f t="shared" si="4"/>
        <v>-3.468536770280517E-2</v>
      </c>
      <c r="K38" s="48">
        <v>18043.849999999999</v>
      </c>
      <c r="L38" s="52">
        <f t="shared" si="5"/>
        <v>5.2902917856084031E-2</v>
      </c>
      <c r="M38" s="1"/>
      <c r="N38" s="1"/>
      <c r="O38" s="1"/>
      <c r="P38" s="1"/>
      <c r="Q38" s="1"/>
      <c r="R38" s="8"/>
    </row>
    <row r="39" spans="2:18" x14ac:dyDescent="0.2">
      <c r="B39" s="46">
        <v>45352</v>
      </c>
      <c r="C39">
        <v>192.99</v>
      </c>
      <c r="D39" s="47">
        <v>5.2900000000000003E-2</v>
      </c>
      <c r="E39" s="52">
        <f t="shared" si="1"/>
        <v>-5.2670331827999184E-2</v>
      </c>
      <c r="F39" s="53">
        <f t="shared" si="2"/>
        <v>4.0580821917808214E-3</v>
      </c>
      <c r="G39" s="51">
        <f t="shared" si="3"/>
        <v>-5.6728414019780002E-2</v>
      </c>
      <c r="H39" s="1"/>
      <c r="I39" s="8">
        <f t="shared" si="0"/>
        <v>192.99</v>
      </c>
      <c r="J39" s="52">
        <f t="shared" si="4"/>
        <v>-5.2670331827999184E-2</v>
      </c>
      <c r="K39" s="48">
        <v>18254.689999999999</v>
      </c>
      <c r="L39" s="52">
        <f t="shared" si="5"/>
        <v>1.1684867697304036E-2</v>
      </c>
      <c r="M39" s="1"/>
      <c r="N39" s="1"/>
      <c r="O39" s="1"/>
      <c r="P39" s="1"/>
      <c r="Q39" s="1"/>
      <c r="R39" s="8"/>
    </row>
    <row r="40" spans="2:18" x14ac:dyDescent="0.2">
      <c r="B40" s="46">
        <v>45383</v>
      </c>
      <c r="C40">
        <v>167.84</v>
      </c>
      <c r="D40" s="47">
        <v>5.28E-2</v>
      </c>
      <c r="E40" s="52">
        <f>C40/C39-1</f>
        <v>-0.13031763303798127</v>
      </c>
      <c r="F40" s="53">
        <f t="shared" si="2"/>
        <v>4.0504109589041097E-3</v>
      </c>
      <c r="G40" s="51">
        <f t="shared" si="3"/>
        <v>-0.13436804399688537</v>
      </c>
      <c r="H40" s="1"/>
      <c r="I40" s="8">
        <f t="shared" si="0"/>
        <v>167.84</v>
      </c>
      <c r="J40" s="52">
        <f t="shared" si="4"/>
        <v>-0.13031763303798127</v>
      </c>
      <c r="K40" s="48">
        <v>17440.689999999999</v>
      </c>
      <c r="L40" s="52">
        <f t="shared" si="5"/>
        <v>-4.4591280377809794E-2</v>
      </c>
      <c r="M40" s="1"/>
      <c r="N40" s="1"/>
      <c r="O40" s="1"/>
      <c r="P40" s="1"/>
      <c r="Q40" s="1"/>
      <c r="R40" s="8"/>
    </row>
    <row r="41" spans="2:18" x14ac:dyDescent="0.2">
      <c r="B41" s="46">
        <v>45413</v>
      </c>
      <c r="C41">
        <v>177.61</v>
      </c>
      <c r="D41" s="47">
        <v>5.2699999999999997E-2</v>
      </c>
      <c r="E41" s="52">
        <f t="shared" si="1"/>
        <v>5.8210200190657924E-2</v>
      </c>
      <c r="F41" s="53">
        <f t="shared" si="2"/>
        <v>4.0427397260273962E-3</v>
      </c>
      <c r="G41" s="51">
        <f t="shared" si="3"/>
        <v>5.4167460464630529E-2</v>
      </c>
      <c r="H41" s="1"/>
      <c r="I41" s="8">
        <f t="shared" si="0"/>
        <v>177.61</v>
      </c>
      <c r="J41" s="52">
        <f t="shared" si="4"/>
        <v>5.8210200190657924E-2</v>
      </c>
      <c r="K41" s="48">
        <v>18536.650000000001</v>
      </c>
      <c r="L41" s="52">
        <f t="shared" si="5"/>
        <v>6.2839256933068688E-2</v>
      </c>
      <c r="M41" s="1"/>
      <c r="N41" s="1"/>
      <c r="O41" s="1"/>
      <c r="P41" s="1"/>
      <c r="Q41" s="1"/>
      <c r="R41" s="8"/>
    </row>
    <row r="42" spans="2:18" ht="17" thickBot="1" x14ac:dyDescent="0.25">
      <c r="B42" s="46">
        <v>45444</v>
      </c>
      <c r="C42">
        <v>182.01</v>
      </c>
      <c r="D42" s="47">
        <v>5.2699999999999997E-2</v>
      </c>
      <c r="E42" s="52">
        <f>C42/C41-1</f>
        <v>2.4773379877259138E-2</v>
      </c>
      <c r="F42" s="53">
        <f>D42/365*28</f>
        <v>4.0427397260273962E-3</v>
      </c>
      <c r="G42" s="51">
        <f t="shared" si="3"/>
        <v>2.0730640151231744E-2</v>
      </c>
      <c r="H42" s="1"/>
      <c r="I42" s="8">
        <f t="shared" si="0"/>
        <v>182.01</v>
      </c>
      <c r="J42" s="52">
        <f t="shared" si="4"/>
        <v>2.4773379877259138E-2</v>
      </c>
      <c r="K42" s="48">
        <v>19682.87</v>
      </c>
      <c r="L42" s="52">
        <f t="shared" si="5"/>
        <v>6.1835337021522108E-2</v>
      </c>
      <c r="M42" s="1"/>
      <c r="N42" s="1"/>
      <c r="O42" s="1"/>
      <c r="P42" s="1"/>
      <c r="Q42" s="1"/>
      <c r="R42" s="8"/>
    </row>
    <row r="43" spans="2:18" ht="17" thickBot="1" x14ac:dyDescent="0.25">
      <c r="B43" s="1"/>
      <c r="D43" s="1"/>
      <c r="E43" s="1"/>
      <c r="F43" s="80" t="s">
        <v>59</v>
      </c>
      <c r="G43" s="81">
        <f>AVERAGE(G20:G42)</f>
        <v>9.9327168420806928E-3</v>
      </c>
      <c r="H43" s="1"/>
      <c r="I43" s="1"/>
      <c r="J43" s="1"/>
      <c r="K43" s="48" t="s">
        <v>65</v>
      </c>
      <c r="L43" s="82">
        <f>COVAR(J20:J42,L20:L42)</f>
        <v>4.5625234990652437E-3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VAR(L20:L42)</f>
        <v>3.6317584188417518E-3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1.2562849652649346</v>
      </c>
    </row>
  </sheetData>
  <mergeCells count="1">
    <mergeCell ref="B4:D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6BCC3-E0FB-174E-AAB1-AB13F73FFB90}">
  <sheetPr codeName="Sheet4"/>
  <dimension ref="B2:R45"/>
  <sheetViews>
    <sheetView tabSelected="1" topLeftCell="G5" workbookViewId="0">
      <selection activeCell="G43" sqref="G43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69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69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AMD</v>
      </c>
      <c r="R5" s="8"/>
    </row>
    <row r="6" spans="2:18" x14ac:dyDescent="0.2">
      <c r="B6" s="1" t="s">
        <v>4</v>
      </c>
      <c r="C6" s="1" t="s">
        <v>62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">
        <v>62</v>
      </c>
      <c r="R6" s="8"/>
    </row>
    <row r="7" spans="2:18" x14ac:dyDescent="0.2">
      <c r="B7" s="1" t="s">
        <v>7</v>
      </c>
      <c r="C7" s="13">
        <v>45635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115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132.5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24">
        <v>111.38</v>
      </c>
      <c r="R10" s="25"/>
    </row>
    <row r="11" spans="2:18" x14ac:dyDescent="0.2">
      <c r="B11" s="1" t="s">
        <v>24</v>
      </c>
      <c r="C11" s="26">
        <v>5.2900000000000003E-2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60.99</v>
      </c>
      <c r="R11" s="31">
        <v>0</v>
      </c>
    </row>
    <row r="12" spans="2:18" x14ac:dyDescent="0.2">
      <c r="B12" s="1" t="s">
        <v>26</v>
      </c>
      <c r="C12" s="32">
        <f>L45</f>
        <v>2.0366255955766328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87">
        <v>0.92</v>
      </c>
      <c r="R12" s="25"/>
    </row>
    <row r="13" spans="2:18" x14ac:dyDescent="0.2">
      <c r="B13" s="1" t="s">
        <v>30</v>
      </c>
      <c r="C13" s="26">
        <f>G43</f>
        <v>3.4207473115724932E-2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0.92</v>
      </c>
      <c r="R13" s="35">
        <v>0</v>
      </c>
    </row>
    <row r="14" spans="2:18" x14ac:dyDescent="0.2">
      <c r="B14" s="1" t="s">
        <v>32</v>
      </c>
      <c r="C14" s="36">
        <f>C11+(C12*C13)</f>
        <v>0.12256781530748495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38">
        <v>9.5399999999999991</v>
      </c>
      <c r="R14" s="31"/>
    </row>
    <row r="15" spans="2:18" ht="19" x14ac:dyDescent="0.25">
      <c r="B15" s="1" t="s">
        <v>36</v>
      </c>
      <c r="C15" s="39">
        <f>C10*(1+C14)</f>
        <v>148.74023552824175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40" t="s">
        <v>63</v>
      </c>
      <c r="R15" s="35">
        <v>1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109.45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69.19</v>
      </c>
      <c r="R17" s="42">
        <v>1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">
        <v>73</v>
      </c>
      <c r="J18" s="34" t="s">
        <v>45</v>
      </c>
      <c r="K18" s="34" t="s">
        <v>64</v>
      </c>
      <c r="L18" s="34" t="s">
        <v>46</v>
      </c>
      <c r="M18" s="1"/>
      <c r="N18" s="21"/>
      <c r="O18" s="22"/>
      <c r="P18" s="23" t="s">
        <v>47</v>
      </c>
      <c r="Q18" s="45">
        <f>C14</f>
        <v>0.12256781530748495</v>
      </c>
      <c r="R18" s="25"/>
    </row>
    <row r="19" spans="2:18" x14ac:dyDescent="0.2">
      <c r="B19" s="46">
        <v>44743</v>
      </c>
      <c r="C19">
        <v>94.47</v>
      </c>
      <c r="D19" s="47">
        <v>2.1600000000000001E-2</v>
      </c>
      <c r="E19" s="1"/>
      <c r="F19" s="1"/>
      <c r="G19" s="1"/>
      <c r="H19" s="1"/>
      <c r="I19" s="8">
        <f>C19</f>
        <v>94.47</v>
      </c>
      <c r="J19" s="8"/>
      <c r="K19" s="48">
        <v>12947.98</v>
      </c>
      <c r="L19" s="8"/>
      <c r="M19" s="1"/>
      <c r="N19" s="49"/>
      <c r="O19" s="50" t="s">
        <v>48</v>
      </c>
      <c r="P19" s="30" t="s">
        <v>8</v>
      </c>
      <c r="Q19" s="51">
        <f>C11</f>
        <v>5.2900000000000003E-2</v>
      </c>
      <c r="R19" s="31"/>
    </row>
    <row r="20" spans="2:18" x14ac:dyDescent="0.2">
      <c r="B20" s="46">
        <v>44774</v>
      </c>
      <c r="C20">
        <v>84.87</v>
      </c>
      <c r="D20" s="47">
        <v>2.29E-2</v>
      </c>
      <c r="E20" s="52">
        <f>C20/C19-1</f>
        <v>-0.1016195617656398</v>
      </c>
      <c r="F20" s="53">
        <f>D20/365*28</f>
        <v>1.7567123287671232E-3</v>
      </c>
      <c r="G20" s="51">
        <f>E20-F20</f>
        <v>-0.10337627409440692</v>
      </c>
      <c r="H20" s="1"/>
      <c r="I20" s="8">
        <f t="shared" ref="I20:I42" si="0">C20</f>
        <v>84.87</v>
      </c>
      <c r="J20" s="52">
        <f>I20/I19-1</f>
        <v>-0.1016195617656398</v>
      </c>
      <c r="K20" s="48">
        <v>12272.03</v>
      </c>
      <c r="L20" s="52">
        <f>K20/K19-1</f>
        <v>-5.2205054379138582E-2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44805</v>
      </c>
      <c r="C21">
        <v>63.36</v>
      </c>
      <c r="D21" s="47">
        <v>2.7E-2</v>
      </c>
      <c r="E21" s="52">
        <f t="shared" ref="E21:E42" si="1">C21/C20-1</f>
        <v>-0.25344644750795342</v>
      </c>
      <c r="F21" s="53">
        <f t="shared" ref="F21:F42" si="2">D21/365*28</f>
        <v>2.0712328767123287E-3</v>
      </c>
      <c r="G21" s="51">
        <f t="shared" ref="G21:G42" si="3">E21-F21</f>
        <v>-0.25551768038466577</v>
      </c>
      <c r="H21" s="1"/>
      <c r="I21" s="8">
        <f t="shared" si="0"/>
        <v>63.36</v>
      </c>
      <c r="J21" s="52">
        <f t="shared" ref="J21:J42" si="4">I21/I20-1</f>
        <v>-0.25344644750795342</v>
      </c>
      <c r="K21" s="48">
        <v>10971.22</v>
      </c>
      <c r="L21" s="52">
        <f t="shared" ref="L21:L42" si="5">K21/K20-1</f>
        <v>-0.10599794817972263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44835</v>
      </c>
      <c r="C22">
        <v>60.06</v>
      </c>
      <c r="D22" s="47">
        <v>3.5700000000000003E-2</v>
      </c>
      <c r="E22" s="52">
        <f t="shared" si="1"/>
        <v>-5.2083333333333259E-2</v>
      </c>
      <c r="F22" s="53">
        <f t="shared" si="2"/>
        <v>2.7386301369863018E-3</v>
      </c>
      <c r="G22" s="51">
        <f t="shared" si="3"/>
        <v>-5.4821963470319562E-2</v>
      </c>
      <c r="H22" s="1"/>
      <c r="I22" s="8">
        <f t="shared" si="0"/>
        <v>60.06</v>
      </c>
      <c r="J22" s="52">
        <f t="shared" si="4"/>
        <v>-5.2083333333333259E-2</v>
      </c>
      <c r="K22" s="48">
        <v>11405.57</v>
      </c>
      <c r="L22" s="52">
        <f t="shared" si="5"/>
        <v>3.9589945329689957E-2</v>
      </c>
      <c r="M22" s="1"/>
      <c r="N22" s="28" t="s">
        <v>50</v>
      </c>
      <c r="O22" s="29"/>
      <c r="P22" s="33"/>
      <c r="Q22" s="56"/>
      <c r="R22" s="35">
        <v>1</v>
      </c>
    </row>
    <row r="23" spans="2:18" x14ac:dyDescent="0.2">
      <c r="B23" s="46">
        <v>44866</v>
      </c>
      <c r="C23">
        <v>77.63</v>
      </c>
      <c r="D23" s="47">
        <v>3.9100000000000003E-2</v>
      </c>
      <c r="E23" s="52">
        <f t="shared" si="1"/>
        <v>0.29254079254079235</v>
      </c>
      <c r="F23" s="53">
        <f t="shared" si="2"/>
        <v>2.999452054794521E-3</v>
      </c>
      <c r="G23" s="51">
        <f t="shared" si="3"/>
        <v>0.28954134048599783</v>
      </c>
      <c r="H23" s="1"/>
      <c r="I23" s="8">
        <f t="shared" si="0"/>
        <v>77.63</v>
      </c>
      <c r="J23" s="52">
        <f t="shared" si="4"/>
        <v>0.29254079254079235</v>
      </c>
      <c r="K23" s="48">
        <v>12030.06</v>
      </c>
      <c r="L23" s="52">
        <f t="shared" si="5"/>
        <v>5.4753072402343728E-2</v>
      </c>
      <c r="M23" s="1"/>
      <c r="N23" s="57" t="s">
        <v>51</v>
      </c>
      <c r="O23" s="58" t="s">
        <v>52</v>
      </c>
      <c r="P23" s="59" t="s">
        <v>44</v>
      </c>
      <c r="Q23" s="128">
        <v>1.64</v>
      </c>
      <c r="R23" s="61" t="str">
        <f>IF(Q23&gt;1.1,"0","1")</f>
        <v>0</v>
      </c>
    </row>
    <row r="24" spans="2:18" x14ac:dyDescent="0.2">
      <c r="B24" s="46">
        <v>44896</v>
      </c>
      <c r="C24">
        <v>64.77</v>
      </c>
      <c r="D24" s="47">
        <v>3.95E-2</v>
      </c>
      <c r="E24" s="52">
        <f t="shared" si="1"/>
        <v>-0.16565760659538842</v>
      </c>
      <c r="F24" s="53">
        <f t="shared" si="2"/>
        <v>3.0301369863013697E-3</v>
      </c>
      <c r="G24" s="51">
        <f t="shared" si="3"/>
        <v>-0.16868774358168978</v>
      </c>
      <c r="H24" s="1"/>
      <c r="I24" s="8">
        <f t="shared" si="0"/>
        <v>64.77</v>
      </c>
      <c r="J24" s="52">
        <f t="shared" si="4"/>
        <v>-0.16565760659538842</v>
      </c>
      <c r="K24" s="48">
        <v>10939.76</v>
      </c>
      <c r="L24" s="52">
        <f t="shared" si="5"/>
        <v>-9.0631301922018626E-2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44927</v>
      </c>
      <c r="C25">
        <v>75.150000000000006</v>
      </c>
      <c r="D25" s="47">
        <v>4.4499999999999998E-2</v>
      </c>
      <c r="E25" s="52">
        <f t="shared" si="1"/>
        <v>0.16025937934228818</v>
      </c>
      <c r="F25" s="53">
        <f t="shared" si="2"/>
        <v>3.4136986301369862E-3</v>
      </c>
      <c r="G25" s="51">
        <f t="shared" si="3"/>
        <v>0.15684568071215119</v>
      </c>
      <c r="H25" s="1"/>
      <c r="I25" s="8">
        <f t="shared" si="0"/>
        <v>75.150000000000006</v>
      </c>
      <c r="J25" s="52">
        <f t="shared" si="4"/>
        <v>0.16025937934228818</v>
      </c>
      <c r="K25" s="48">
        <v>12101.93</v>
      </c>
      <c r="L25" s="52">
        <f t="shared" si="5"/>
        <v>0.10623359196179805</v>
      </c>
      <c r="M25" s="1"/>
      <c r="N25" s="30"/>
      <c r="O25" s="64"/>
      <c r="P25" s="30" t="s">
        <v>23</v>
      </c>
      <c r="Q25" s="84">
        <f>Q10</f>
        <v>111.38</v>
      </c>
      <c r="R25" s="31"/>
    </row>
    <row r="26" spans="2:18" x14ac:dyDescent="0.2">
      <c r="B26" s="46">
        <v>44958</v>
      </c>
      <c r="C26">
        <v>78.58</v>
      </c>
      <c r="D26" s="47">
        <v>4.5199999999999997E-2</v>
      </c>
      <c r="E26" s="52">
        <f t="shared" si="1"/>
        <v>4.564204923486348E-2</v>
      </c>
      <c r="F26" s="53">
        <f t="shared" si="2"/>
        <v>3.4673972602739722E-3</v>
      </c>
      <c r="G26" s="51">
        <f t="shared" si="3"/>
        <v>4.2174651974589507E-2</v>
      </c>
      <c r="H26" s="1"/>
      <c r="I26" s="8">
        <f t="shared" si="0"/>
        <v>78.58</v>
      </c>
      <c r="J26" s="52">
        <f t="shared" si="4"/>
        <v>4.564204923486348E-2</v>
      </c>
      <c r="K26" s="48">
        <v>12042.12</v>
      </c>
      <c r="L26" s="52">
        <f t="shared" si="5"/>
        <v>-4.942186907377577E-3</v>
      </c>
      <c r="M26" s="1"/>
      <c r="N26" s="49" t="s">
        <v>54</v>
      </c>
      <c r="O26" s="64"/>
      <c r="P26" s="30" t="s">
        <v>55</v>
      </c>
      <c r="Q26" s="66">
        <f>1/Q25</f>
        <v>8.9782725803555403E-3</v>
      </c>
      <c r="R26" s="31">
        <v>0</v>
      </c>
    </row>
    <row r="27" spans="2:18" x14ac:dyDescent="0.2">
      <c r="B27" s="46">
        <v>44986</v>
      </c>
      <c r="C27">
        <v>98.01</v>
      </c>
      <c r="D27" s="47">
        <v>4.5999999999999999E-2</v>
      </c>
      <c r="E27" s="52">
        <f t="shared" si="1"/>
        <v>0.24726393484347176</v>
      </c>
      <c r="F27" s="53">
        <f t="shared" si="2"/>
        <v>3.5287671232876708E-3</v>
      </c>
      <c r="G27" s="51">
        <f t="shared" si="3"/>
        <v>0.24373516772018408</v>
      </c>
      <c r="H27" s="1"/>
      <c r="I27" s="8">
        <f t="shared" si="0"/>
        <v>98.01</v>
      </c>
      <c r="J27" s="52">
        <f t="shared" si="4"/>
        <v>0.24726393484347176</v>
      </c>
      <c r="K27" s="48">
        <v>13181.35</v>
      </c>
      <c r="L27" s="52">
        <f t="shared" si="5"/>
        <v>9.4603774086290393E-2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45017</v>
      </c>
      <c r="C28">
        <v>89.37</v>
      </c>
      <c r="D28" s="47">
        <v>4.2299999999999997E-2</v>
      </c>
      <c r="E28" s="52">
        <f t="shared" si="1"/>
        <v>-8.8154269972451793E-2</v>
      </c>
      <c r="F28" s="53">
        <f t="shared" si="2"/>
        <v>3.2449315068493151E-3</v>
      </c>
      <c r="G28" s="51">
        <f t="shared" si="3"/>
        <v>-9.1399201479301112E-2</v>
      </c>
      <c r="H28" s="1"/>
      <c r="I28" s="8">
        <f t="shared" si="0"/>
        <v>89.37</v>
      </c>
      <c r="J28" s="52">
        <f t="shared" si="4"/>
        <v>-8.8154269972451793E-2</v>
      </c>
      <c r="K28" s="48">
        <v>13245.99</v>
      </c>
      <c r="L28" s="52">
        <f t="shared" si="5"/>
        <v>4.9038983108709022E-3</v>
      </c>
      <c r="M28" s="1"/>
      <c r="N28" s="30"/>
      <c r="O28" s="1"/>
      <c r="P28" s="30" t="s">
        <v>57</v>
      </c>
      <c r="Q28" s="51">
        <f>Q18</f>
        <v>0.12256781530748495</v>
      </c>
      <c r="R28" s="31"/>
    </row>
    <row r="29" spans="2:18" x14ac:dyDescent="0.2">
      <c r="B29" s="46">
        <v>45047</v>
      </c>
      <c r="C29">
        <v>118.21</v>
      </c>
      <c r="D29" s="47">
        <v>5.0799999999999998E-2</v>
      </c>
      <c r="E29" s="52">
        <f t="shared" si="1"/>
        <v>0.32270336802058841</v>
      </c>
      <c r="F29" s="53">
        <f t="shared" si="2"/>
        <v>3.8969863013698625E-3</v>
      </c>
      <c r="G29" s="51">
        <f t="shared" si="3"/>
        <v>0.31880638171921855</v>
      </c>
      <c r="H29" s="1"/>
      <c r="I29" s="8">
        <f t="shared" si="0"/>
        <v>118.21</v>
      </c>
      <c r="J29" s="52">
        <f t="shared" si="4"/>
        <v>0.32270336802058841</v>
      </c>
      <c r="K29" s="48">
        <v>14254.09</v>
      </c>
      <c r="L29" s="52">
        <f t="shared" si="5"/>
        <v>7.6106051718293655E-2</v>
      </c>
      <c r="M29" s="1"/>
      <c r="N29" s="30"/>
      <c r="O29" s="1"/>
      <c r="P29" s="30" t="s">
        <v>58</v>
      </c>
      <c r="Q29" s="67">
        <v>-6.0900000000000003E-2</v>
      </c>
      <c r="R29" s="31"/>
    </row>
    <row r="30" spans="2:18" ht="17" thickBot="1" x14ac:dyDescent="0.25">
      <c r="B30" s="46">
        <v>45078</v>
      </c>
      <c r="C30">
        <v>113.91</v>
      </c>
      <c r="D30" s="47">
        <v>5.0799999999999998E-2</v>
      </c>
      <c r="E30" s="52">
        <f t="shared" si="1"/>
        <v>-3.637594112173248E-2</v>
      </c>
      <c r="F30" s="53">
        <f t="shared" si="2"/>
        <v>3.8969863013698625E-3</v>
      </c>
      <c r="G30" s="51">
        <f t="shared" si="3"/>
        <v>-4.0272927423102345E-2</v>
      </c>
      <c r="I30" s="8">
        <f t="shared" si="0"/>
        <v>113.91</v>
      </c>
      <c r="J30" s="52">
        <f t="shared" si="4"/>
        <v>-3.637594112173248E-2</v>
      </c>
      <c r="K30" s="48">
        <v>15179.21</v>
      </c>
      <c r="L30" s="52">
        <f t="shared" si="5"/>
        <v>6.4902073720595199E-2</v>
      </c>
      <c r="M30" s="1"/>
      <c r="N30" s="1"/>
      <c r="O30" s="1"/>
      <c r="P30" s="33"/>
      <c r="Q30" s="68">
        <f>Q28-Q29</f>
        <v>0.18346781530748496</v>
      </c>
      <c r="R30" s="31">
        <v>1</v>
      </c>
    </row>
    <row r="31" spans="2:18" ht="17" thickBot="1" x14ac:dyDescent="0.25">
      <c r="B31" s="46">
        <v>45108</v>
      </c>
      <c r="C31">
        <v>114.4</v>
      </c>
      <c r="D31" s="47">
        <v>5.2699999999999997E-2</v>
      </c>
      <c r="E31" s="52">
        <f t="shared" si="1"/>
        <v>4.3016416469143781E-3</v>
      </c>
      <c r="F31" s="53">
        <f t="shared" si="2"/>
        <v>4.0427397260273962E-3</v>
      </c>
      <c r="G31" s="51">
        <f t="shared" si="3"/>
        <v>2.5890192088698187E-4</v>
      </c>
      <c r="H31" s="1"/>
      <c r="I31" s="8">
        <f t="shared" si="0"/>
        <v>114.4</v>
      </c>
      <c r="J31" s="52">
        <f t="shared" si="4"/>
        <v>4.3016416469143781E-3</v>
      </c>
      <c r="K31" s="48">
        <v>15757</v>
      </c>
      <c r="L31" s="52">
        <f t="shared" si="5"/>
        <v>3.8064563307313115E-2</v>
      </c>
      <c r="M31" s="1"/>
      <c r="N31" s="1"/>
      <c r="O31" s="1"/>
      <c r="P31" s="30"/>
      <c r="Q31" s="69"/>
      <c r="R31" s="70">
        <f>SUM(R10:R30)/8</f>
        <v>0.5</v>
      </c>
    </row>
    <row r="32" spans="2:18" x14ac:dyDescent="0.2">
      <c r="B32" s="46">
        <v>45139</v>
      </c>
      <c r="C32">
        <v>105.72</v>
      </c>
      <c r="D32" s="47">
        <v>5.28E-2</v>
      </c>
      <c r="E32" s="52">
        <f t="shared" si="1"/>
        <v>-7.5874125874125897E-2</v>
      </c>
      <c r="F32" s="53">
        <f t="shared" si="2"/>
        <v>4.0504109589041097E-3</v>
      </c>
      <c r="G32" s="51">
        <f t="shared" si="3"/>
        <v>-7.992453683303001E-2</v>
      </c>
      <c r="H32" s="1"/>
      <c r="I32" s="8">
        <f t="shared" si="0"/>
        <v>105.72</v>
      </c>
      <c r="J32" s="52">
        <f t="shared" si="4"/>
        <v>-7.5874125874125897E-2</v>
      </c>
      <c r="K32" s="48">
        <v>15501.07</v>
      </c>
      <c r="L32" s="52">
        <f t="shared" si="5"/>
        <v>-1.6242305007298397E-2</v>
      </c>
      <c r="M32" s="1"/>
      <c r="N32" s="1"/>
      <c r="O32" s="1"/>
      <c r="P32" s="71"/>
      <c r="Q32" s="72"/>
      <c r="R32" s="73"/>
    </row>
    <row r="33" spans="2:18" x14ac:dyDescent="0.2">
      <c r="B33" s="46">
        <v>45170</v>
      </c>
      <c r="C33">
        <v>102.82</v>
      </c>
      <c r="D33" s="47">
        <v>5.2900000000000003E-2</v>
      </c>
      <c r="E33" s="52">
        <f t="shared" si="1"/>
        <v>-2.7430949678395766E-2</v>
      </c>
      <c r="F33" s="53">
        <f t="shared" si="2"/>
        <v>4.0580821917808214E-3</v>
      </c>
      <c r="G33" s="51">
        <f t="shared" si="3"/>
        <v>-3.1489031870176584E-2</v>
      </c>
      <c r="H33" s="1"/>
      <c r="I33" s="8">
        <f t="shared" si="0"/>
        <v>102.82</v>
      </c>
      <c r="J33" s="52">
        <f t="shared" si="4"/>
        <v>-2.7430949678395766E-2</v>
      </c>
      <c r="K33" s="48">
        <v>14715.24</v>
      </c>
      <c r="L33" s="52">
        <f t="shared" si="5"/>
        <v>-5.0695210072595032E-2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45200</v>
      </c>
      <c r="C34">
        <v>98.5</v>
      </c>
      <c r="D34" s="47">
        <v>5.2900000000000003E-2</v>
      </c>
      <c r="E34" s="52">
        <f t="shared" si="1"/>
        <v>-4.2015172145496882E-2</v>
      </c>
      <c r="F34" s="53">
        <f t="shared" si="2"/>
        <v>4.0580821917808214E-3</v>
      </c>
      <c r="G34" s="51">
        <f t="shared" si="3"/>
        <v>-4.60732543372777E-2</v>
      </c>
      <c r="H34" s="1"/>
      <c r="I34" s="8">
        <f t="shared" si="0"/>
        <v>98.5</v>
      </c>
      <c r="J34" s="52">
        <f t="shared" si="4"/>
        <v>-4.2015172145496882E-2</v>
      </c>
      <c r="K34" s="48">
        <v>14409.78</v>
      </c>
      <c r="L34" s="52">
        <f t="shared" si="5"/>
        <v>-2.0758071224118657E-2</v>
      </c>
      <c r="M34" s="1"/>
      <c r="N34" s="1"/>
      <c r="O34" s="1"/>
      <c r="P34" s="77"/>
      <c r="Q34" s="78"/>
      <c r="R34" s="79"/>
    </row>
    <row r="35" spans="2:18" x14ac:dyDescent="0.2">
      <c r="B35" s="46">
        <v>45231</v>
      </c>
      <c r="C35">
        <v>121.16</v>
      </c>
      <c r="D35" s="47">
        <v>5.2900000000000003E-2</v>
      </c>
      <c r="E35" s="52">
        <f t="shared" si="1"/>
        <v>0.23005076142131986</v>
      </c>
      <c r="F35" s="53">
        <f t="shared" si="2"/>
        <v>4.0580821917808214E-3</v>
      </c>
      <c r="G35" s="51">
        <f t="shared" si="3"/>
        <v>0.22599267922953903</v>
      </c>
      <c r="H35" s="1"/>
      <c r="I35" s="8">
        <f t="shared" si="0"/>
        <v>121.16</v>
      </c>
      <c r="J35" s="52">
        <f t="shared" si="4"/>
        <v>0.23005076142131986</v>
      </c>
      <c r="K35" s="48">
        <v>15947.87</v>
      </c>
      <c r="L35" s="52">
        <f t="shared" si="5"/>
        <v>0.10673931177297646</v>
      </c>
      <c r="M35" s="1"/>
      <c r="N35" s="1"/>
      <c r="O35" s="1"/>
      <c r="P35" s="1"/>
      <c r="Q35" s="1"/>
      <c r="R35" s="8"/>
    </row>
    <row r="36" spans="2:18" x14ac:dyDescent="0.2">
      <c r="B36" s="46">
        <v>45261</v>
      </c>
      <c r="C36">
        <v>147.41</v>
      </c>
      <c r="D36" s="47">
        <v>5.33E-2</v>
      </c>
      <c r="E36" s="52">
        <f t="shared" si="1"/>
        <v>0.21665566193463182</v>
      </c>
      <c r="F36" s="53">
        <f t="shared" si="2"/>
        <v>4.0887671232876718E-3</v>
      </c>
      <c r="G36" s="51">
        <f t="shared" si="3"/>
        <v>0.21256689481134414</v>
      </c>
      <c r="H36" s="1"/>
      <c r="I36" s="8">
        <f t="shared" si="0"/>
        <v>147.41</v>
      </c>
      <c r="J36" s="52">
        <f t="shared" si="4"/>
        <v>0.21665566193463182</v>
      </c>
      <c r="K36" s="48">
        <v>16825.93</v>
      </c>
      <c r="L36" s="52">
        <f t="shared" si="5"/>
        <v>5.5058136290300874E-2</v>
      </c>
      <c r="M36" s="1"/>
      <c r="N36" s="1"/>
      <c r="O36" s="1"/>
      <c r="P36" s="1"/>
      <c r="Q36" s="1"/>
      <c r="R36" s="8"/>
    </row>
    <row r="37" spans="2:18" x14ac:dyDescent="0.2">
      <c r="B37" s="46">
        <v>45292</v>
      </c>
      <c r="C37">
        <v>167.69</v>
      </c>
      <c r="D37" s="47">
        <v>5.2699999999999997E-2</v>
      </c>
      <c r="E37" s="52">
        <f t="shared" si="1"/>
        <v>0.1375754697781697</v>
      </c>
      <c r="F37" s="53">
        <f t="shared" si="2"/>
        <v>4.0427397260273962E-3</v>
      </c>
      <c r="G37" s="51">
        <f t="shared" si="3"/>
        <v>0.13353273005214231</v>
      </c>
      <c r="H37" s="1"/>
      <c r="I37" s="8">
        <f t="shared" si="0"/>
        <v>167.69</v>
      </c>
      <c r="J37" s="52">
        <f t="shared" si="4"/>
        <v>0.1375754697781697</v>
      </c>
      <c r="K37" s="48">
        <v>17137.240000000002</v>
      </c>
      <c r="L37" s="52">
        <f t="shared" si="5"/>
        <v>1.8501800494831633E-2</v>
      </c>
      <c r="M37" s="1"/>
      <c r="N37" s="1"/>
      <c r="O37" s="1"/>
      <c r="P37" s="1"/>
      <c r="Q37" s="1"/>
      <c r="R37" s="8"/>
    </row>
    <row r="38" spans="2:18" x14ac:dyDescent="0.2">
      <c r="B38" s="46">
        <v>45323</v>
      </c>
      <c r="C38">
        <v>192.53</v>
      </c>
      <c r="D38" s="47">
        <v>5.2999999999999999E-2</v>
      </c>
      <c r="E38" s="52">
        <f t="shared" si="1"/>
        <v>0.1481304788598008</v>
      </c>
      <c r="F38" s="53">
        <f t="shared" si="2"/>
        <v>4.0657534246575349E-3</v>
      </c>
      <c r="G38" s="51">
        <f t="shared" si="3"/>
        <v>0.14406472543514326</v>
      </c>
      <c r="H38" s="1"/>
      <c r="I38" s="8">
        <f t="shared" si="0"/>
        <v>192.53</v>
      </c>
      <c r="J38" s="52">
        <f t="shared" si="4"/>
        <v>0.1481304788598008</v>
      </c>
      <c r="K38" s="48">
        <v>18043.849999999999</v>
      </c>
      <c r="L38" s="52">
        <f t="shared" si="5"/>
        <v>5.2902917856084031E-2</v>
      </c>
      <c r="M38" s="1"/>
      <c r="N38" s="1"/>
      <c r="O38" s="1"/>
      <c r="P38" s="1"/>
      <c r="Q38" s="1"/>
      <c r="R38" s="8"/>
    </row>
    <row r="39" spans="2:18" x14ac:dyDescent="0.2">
      <c r="B39" s="46">
        <v>45352</v>
      </c>
      <c r="C39">
        <v>180.49</v>
      </c>
      <c r="D39" s="47">
        <v>5.2900000000000003E-2</v>
      </c>
      <c r="E39" s="52">
        <f t="shared" si="1"/>
        <v>-6.2535708720718786E-2</v>
      </c>
      <c r="F39" s="53">
        <f t="shared" si="2"/>
        <v>4.0580821917808214E-3</v>
      </c>
      <c r="G39" s="51">
        <f t="shared" si="3"/>
        <v>-6.6593790912499604E-2</v>
      </c>
      <c r="H39" s="1"/>
      <c r="I39" s="8">
        <f t="shared" si="0"/>
        <v>180.49</v>
      </c>
      <c r="J39" s="52">
        <f t="shared" si="4"/>
        <v>-6.2535708720718786E-2</v>
      </c>
      <c r="K39" s="48">
        <v>18254.689999999999</v>
      </c>
      <c r="L39" s="52">
        <f t="shared" si="5"/>
        <v>1.1684867697304036E-2</v>
      </c>
      <c r="M39" s="1"/>
      <c r="N39" s="1"/>
      <c r="O39" s="1"/>
      <c r="P39" s="1"/>
      <c r="Q39" s="1"/>
      <c r="R39" s="8"/>
    </row>
    <row r="40" spans="2:18" x14ac:dyDescent="0.2">
      <c r="B40" s="46">
        <v>45383</v>
      </c>
      <c r="C40">
        <v>158.38</v>
      </c>
      <c r="D40" s="47">
        <v>5.28E-2</v>
      </c>
      <c r="E40" s="52">
        <f t="shared" si="1"/>
        <v>-0.12249986148817116</v>
      </c>
      <c r="F40" s="53">
        <f t="shared" si="2"/>
        <v>4.0504109589041097E-3</v>
      </c>
      <c r="G40" s="51">
        <f t="shared" si="3"/>
        <v>-0.12655027244707526</v>
      </c>
      <c r="H40" s="1"/>
      <c r="I40" s="8">
        <f t="shared" si="0"/>
        <v>158.38</v>
      </c>
      <c r="J40" s="52">
        <f t="shared" si="4"/>
        <v>-0.12249986148817116</v>
      </c>
      <c r="K40" s="48">
        <v>17440.689999999999</v>
      </c>
      <c r="L40" s="52">
        <f t="shared" si="5"/>
        <v>-4.4591280377809794E-2</v>
      </c>
      <c r="M40" s="1"/>
      <c r="N40" s="1"/>
      <c r="O40" s="1"/>
      <c r="P40" s="1"/>
      <c r="Q40" s="1"/>
      <c r="R40" s="8"/>
    </row>
    <row r="41" spans="2:18" x14ac:dyDescent="0.2">
      <c r="B41" s="46">
        <v>45413</v>
      </c>
      <c r="C41">
        <v>166.9</v>
      </c>
      <c r="D41" s="47">
        <v>5.2699999999999997E-2</v>
      </c>
      <c r="E41" s="52">
        <f t="shared" si="1"/>
        <v>5.3794671044323783E-2</v>
      </c>
      <c r="F41" s="53">
        <f t="shared" si="2"/>
        <v>4.0427397260273962E-3</v>
      </c>
      <c r="G41" s="51">
        <f t="shared" si="3"/>
        <v>4.9751931318296388E-2</v>
      </c>
      <c r="H41" s="1"/>
      <c r="I41" s="8">
        <f t="shared" si="0"/>
        <v>166.9</v>
      </c>
      <c r="J41" s="52">
        <f t="shared" si="4"/>
        <v>5.3794671044323783E-2</v>
      </c>
      <c r="K41" s="48">
        <v>18536.650000000001</v>
      </c>
      <c r="L41" s="52">
        <f t="shared" si="5"/>
        <v>6.2839256933068688E-2</v>
      </c>
      <c r="M41" s="1"/>
      <c r="N41" s="1"/>
      <c r="O41" s="1"/>
      <c r="P41" s="1"/>
      <c r="Q41" s="1"/>
      <c r="R41" s="8"/>
    </row>
    <row r="42" spans="2:18" ht="17" thickBot="1" x14ac:dyDescent="0.25">
      <c r="B42" s="46">
        <v>45444</v>
      </c>
      <c r="C42">
        <v>162.21</v>
      </c>
      <c r="D42" s="47">
        <v>5.2699999999999997E-2</v>
      </c>
      <c r="E42" s="52">
        <f t="shared" si="1"/>
        <v>-2.8100659077291756E-2</v>
      </c>
      <c r="F42" s="53">
        <f t="shared" si="2"/>
        <v>4.0427397260273962E-3</v>
      </c>
      <c r="G42" s="51">
        <f t="shared" si="3"/>
        <v>-3.2143398803319151E-2</v>
      </c>
      <c r="H42" s="1"/>
      <c r="I42" s="8">
        <f t="shared" si="0"/>
        <v>162.21</v>
      </c>
      <c r="J42" s="52">
        <f t="shared" si="4"/>
        <v>-2.8100659077291756E-2</v>
      </c>
      <c r="K42" s="48">
        <v>19682.87</v>
      </c>
      <c r="L42" s="52">
        <f t="shared" si="5"/>
        <v>6.1835337021522108E-2</v>
      </c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3.4207473115724932E-2</v>
      </c>
      <c r="H43" s="1"/>
      <c r="I43" s="1"/>
      <c r="J43" s="1"/>
      <c r="K43" s="48" t="s">
        <v>65</v>
      </c>
      <c r="L43" s="82">
        <f>COVAR(J20:J41,L20:L41)</f>
        <v>7.57227288277206E-3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3.7180485697608603E-3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2.0366255955766328</v>
      </c>
    </row>
  </sheetData>
  <mergeCells count="1">
    <mergeCell ref="B4:D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08945-9415-E64F-AB85-FA4C5D6544E4}">
  <sheetPr codeName="Sheet5"/>
  <dimension ref="B2:R45"/>
  <sheetViews>
    <sheetView workbookViewId="0"/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66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116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PepsiCo</v>
      </c>
      <c r="R5" s="8"/>
    </row>
    <row r="6" spans="2:18" x14ac:dyDescent="0.2">
      <c r="B6" s="1" t="s">
        <v>4</v>
      </c>
      <c r="C6" s="1" t="s">
        <v>62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">
        <v>62</v>
      </c>
      <c r="R6" s="8"/>
    </row>
    <row r="7" spans="2:18" x14ac:dyDescent="0.2">
      <c r="B7" s="1" t="s">
        <v>7</v>
      </c>
      <c r="C7" s="13">
        <v>45635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115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129.88999999999999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24">
        <v>19.03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2.86</v>
      </c>
      <c r="R11" s="31">
        <v>0</v>
      </c>
    </row>
    <row r="12" spans="2:18" x14ac:dyDescent="0.2">
      <c r="B12" s="1" t="s">
        <v>26</v>
      </c>
      <c r="C12" s="32">
        <v>0.47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87">
        <v>1.48</v>
      </c>
      <c r="R12" s="25"/>
    </row>
    <row r="13" spans="2:18" x14ac:dyDescent="0.2">
      <c r="B13" s="1" t="s">
        <v>30</v>
      </c>
      <c r="C13" s="26">
        <f>G43</f>
        <v>-1.6497710369482829E-2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1.51</v>
      </c>
      <c r="R13" s="35">
        <v>0</v>
      </c>
    </row>
    <row r="14" spans="2:18" x14ac:dyDescent="0.2">
      <c r="B14" s="1" t="s">
        <v>32</v>
      </c>
      <c r="C14" s="36">
        <f>C11+(C12*C13)</f>
        <v>3.2946076126343073E-2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85">
        <v>-8.7799999999999994</v>
      </c>
      <c r="R14" s="31"/>
    </row>
    <row r="15" spans="2:18" ht="19" x14ac:dyDescent="0.25">
      <c r="B15" s="1" t="s">
        <v>36</v>
      </c>
      <c r="C15" s="39">
        <f>C10*(1+C14)</f>
        <v>134.1693658280507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24.15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-69.39</v>
      </c>
      <c r="R17" s="42">
        <v>1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">
        <v>73</v>
      </c>
      <c r="J18" s="34" t="s">
        <v>45</v>
      </c>
      <c r="K18" s="34" t="s">
        <v>64</v>
      </c>
      <c r="L18" s="34" t="s">
        <v>46</v>
      </c>
      <c r="M18" s="1"/>
      <c r="N18" s="21"/>
      <c r="O18" s="22"/>
      <c r="P18" s="23" t="s">
        <v>47</v>
      </c>
      <c r="Q18" s="131">
        <f>C14</f>
        <v>3.2946076126343073E-2</v>
      </c>
      <c r="R18" s="25"/>
    </row>
    <row r="19" spans="2:18" x14ac:dyDescent="0.2">
      <c r="B19" s="46">
        <v>45108</v>
      </c>
      <c r="C19">
        <v>177.92</v>
      </c>
      <c r="D19" s="47">
        <v>5.2699999999999997E-2</v>
      </c>
      <c r="E19" s="1"/>
      <c r="F19" s="1"/>
      <c r="G19" s="1"/>
      <c r="H19" s="1"/>
      <c r="I19" s="8">
        <f>C19</f>
        <v>177.92</v>
      </c>
      <c r="J19" s="8"/>
      <c r="K19" s="48">
        <v>15501.07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169.44</v>
      </c>
      <c r="D20" s="47">
        <v>5.28E-2</v>
      </c>
      <c r="E20" s="52">
        <f>C20/C19-1</f>
        <v>-4.7661870503597048E-2</v>
      </c>
      <c r="F20" s="53">
        <f>D20/365*28</f>
        <v>4.0504109589041097E-3</v>
      </c>
      <c r="G20" s="51">
        <f>E20-F20</f>
        <v>-5.1712281462501161E-2</v>
      </c>
      <c r="H20" s="1"/>
      <c r="I20" s="8">
        <f t="shared" ref="I20:I41" si="0">C20</f>
        <v>169.44</v>
      </c>
      <c r="J20" s="52">
        <f>I20/I19-1</f>
        <v>-4.7661870503597048E-2</v>
      </c>
      <c r="K20" s="48">
        <v>14715.24</v>
      </c>
      <c r="L20" s="52">
        <f>K20/K19-1</f>
        <v>-5.0695210072595032E-2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163.28</v>
      </c>
      <c r="D21" s="47">
        <v>5.2900000000000003E-2</v>
      </c>
      <c r="E21" s="52">
        <f t="shared" ref="E21:E41" si="1">C21/C20-1</f>
        <v>-3.6355051935788474E-2</v>
      </c>
      <c r="F21" s="53">
        <f t="shared" ref="F21:F41" si="2">D21/365*28</f>
        <v>4.0580821917808214E-3</v>
      </c>
      <c r="G21" s="51">
        <f t="shared" ref="G21:G41" si="3">E21-F21</f>
        <v>-4.0413134127569292E-2</v>
      </c>
      <c r="H21" s="1"/>
      <c r="I21" s="8">
        <f t="shared" si="0"/>
        <v>163.28</v>
      </c>
      <c r="J21" s="52">
        <f t="shared" ref="J21:J41" si="4">I21/I20-1</f>
        <v>-3.6355051935788474E-2</v>
      </c>
      <c r="K21" s="48">
        <v>14409.78</v>
      </c>
      <c r="L21" s="52">
        <f t="shared" ref="L21:L41" si="5">K21/K20-1</f>
        <v>-2.0758071224118657E-2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168.29</v>
      </c>
      <c r="D22" s="47">
        <v>5.2900000000000003E-2</v>
      </c>
      <c r="E22" s="52">
        <f t="shared" si="1"/>
        <v>3.0683488486036303E-2</v>
      </c>
      <c r="F22" s="53">
        <f t="shared" si="2"/>
        <v>4.0580821917808214E-3</v>
      </c>
      <c r="G22" s="51">
        <f t="shared" si="3"/>
        <v>2.6625406294255482E-2</v>
      </c>
      <c r="H22" s="1"/>
      <c r="I22" s="8">
        <f t="shared" si="0"/>
        <v>168.29</v>
      </c>
      <c r="J22" s="52">
        <f t="shared" si="4"/>
        <v>3.0683488486036303E-2</v>
      </c>
      <c r="K22" s="48">
        <v>15947.87</v>
      </c>
      <c r="L22" s="52">
        <f t="shared" si="5"/>
        <v>0.10673931177297646</v>
      </c>
      <c r="M22" s="1"/>
      <c r="N22" s="28" t="s">
        <v>50</v>
      </c>
      <c r="O22" s="29"/>
      <c r="P22" s="33"/>
      <c r="Q22" s="56"/>
      <c r="R22" s="35">
        <v>0</v>
      </c>
    </row>
    <row r="23" spans="2:18" x14ac:dyDescent="0.2">
      <c r="B23" s="46">
        <v>45231</v>
      </c>
      <c r="C23">
        <v>169.84</v>
      </c>
      <c r="D23" s="47">
        <v>5.2900000000000003E-2</v>
      </c>
      <c r="E23" s="52">
        <f t="shared" si="1"/>
        <v>9.2102917582743693E-3</v>
      </c>
      <c r="F23" s="53">
        <f t="shared" si="2"/>
        <v>4.0580821917808214E-3</v>
      </c>
      <c r="G23" s="51">
        <f t="shared" si="3"/>
        <v>5.1522095664935479E-3</v>
      </c>
      <c r="H23" s="1"/>
      <c r="I23" s="8">
        <f t="shared" si="0"/>
        <v>169.84</v>
      </c>
      <c r="J23" s="52">
        <f t="shared" si="4"/>
        <v>9.2102917582743693E-3</v>
      </c>
      <c r="K23" s="48">
        <v>16825.93</v>
      </c>
      <c r="L23" s="52">
        <f t="shared" si="5"/>
        <v>5.5058136290300874E-2</v>
      </c>
      <c r="M23" s="1"/>
      <c r="N23" s="57" t="s">
        <v>51</v>
      </c>
      <c r="O23" s="58" t="s">
        <v>52</v>
      </c>
      <c r="P23" s="59" t="s">
        <v>44</v>
      </c>
      <c r="Q23" s="128">
        <v>0.47</v>
      </c>
      <c r="R23" s="61" t="str">
        <f>IF(Q23&gt;1.1,"0","1")</f>
        <v>1</v>
      </c>
    </row>
    <row r="24" spans="2:18" x14ac:dyDescent="0.2">
      <c r="B24" s="46">
        <v>45261</v>
      </c>
      <c r="C24">
        <v>168.53</v>
      </c>
      <c r="D24" s="47">
        <v>5.33E-2</v>
      </c>
      <c r="E24" s="52">
        <f t="shared" si="1"/>
        <v>-7.7131417804993108E-3</v>
      </c>
      <c r="F24" s="53">
        <f t="shared" si="2"/>
        <v>4.0887671232876718E-3</v>
      </c>
      <c r="G24" s="51">
        <f t="shared" si="3"/>
        <v>-1.1801908903786983E-2</v>
      </c>
      <c r="H24" s="1"/>
      <c r="I24" s="8">
        <f t="shared" si="0"/>
        <v>168.53</v>
      </c>
      <c r="J24" s="52">
        <f t="shared" si="4"/>
        <v>-7.7131417804993108E-3</v>
      </c>
      <c r="K24" s="48">
        <v>17137.240000000002</v>
      </c>
      <c r="L24" s="52">
        <f t="shared" si="5"/>
        <v>1.8501800494831633E-2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165.34</v>
      </c>
      <c r="D25" s="47">
        <v>5.2699999999999997E-2</v>
      </c>
      <c r="E25" s="52">
        <f t="shared" si="1"/>
        <v>-1.8928380703732262E-2</v>
      </c>
      <c r="F25" s="53">
        <f t="shared" si="2"/>
        <v>4.0427397260273962E-3</v>
      </c>
      <c r="G25" s="51">
        <f t="shared" si="3"/>
        <v>-2.2971120429759656E-2</v>
      </c>
      <c r="H25" s="1"/>
      <c r="I25" s="8">
        <f t="shared" si="0"/>
        <v>165.34</v>
      </c>
      <c r="J25" s="52">
        <f t="shared" si="4"/>
        <v>-1.8928380703732262E-2</v>
      </c>
      <c r="K25" s="48">
        <v>18043.849999999999</v>
      </c>
      <c r="L25" s="52">
        <f t="shared" si="5"/>
        <v>5.2902917856084031E-2</v>
      </c>
      <c r="M25" s="1"/>
      <c r="N25" s="30"/>
      <c r="O25" s="64"/>
      <c r="P25" s="30" t="s">
        <v>23</v>
      </c>
      <c r="Q25" s="84">
        <f>Q10</f>
        <v>19.03</v>
      </c>
      <c r="R25" s="31"/>
    </row>
    <row r="26" spans="2:18" x14ac:dyDescent="0.2">
      <c r="B26" s="46">
        <v>45323</v>
      </c>
      <c r="C26">
        <v>177.01</v>
      </c>
      <c r="D26" s="47">
        <v>5.2999999999999999E-2</v>
      </c>
      <c r="E26" s="52">
        <f t="shared" si="1"/>
        <v>7.0581831377766857E-2</v>
      </c>
      <c r="F26" s="53">
        <f t="shared" si="2"/>
        <v>4.0657534246575349E-3</v>
      </c>
      <c r="G26" s="51">
        <f t="shared" si="3"/>
        <v>6.651607795310932E-2</v>
      </c>
      <c r="H26" s="1"/>
      <c r="I26" s="8">
        <f t="shared" si="0"/>
        <v>177.01</v>
      </c>
      <c r="J26" s="52">
        <f t="shared" si="4"/>
        <v>7.0581831377766857E-2</v>
      </c>
      <c r="K26" s="48">
        <v>18254.689999999999</v>
      </c>
      <c r="L26" s="52">
        <f t="shared" si="5"/>
        <v>1.1684867697304036E-2</v>
      </c>
      <c r="M26" s="1"/>
      <c r="N26" s="49" t="s">
        <v>54</v>
      </c>
      <c r="O26" s="64"/>
      <c r="P26" s="30" t="s">
        <v>55</v>
      </c>
      <c r="Q26" s="132">
        <f>1/Q25</f>
        <v>5.2548607461902257E-2</v>
      </c>
      <c r="R26" s="31">
        <v>1</v>
      </c>
    </row>
    <row r="27" spans="2:18" x14ac:dyDescent="0.2">
      <c r="B27" s="46">
        <v>45352</v>
      </c>
      <c r="C27">
        <v>175.91</v>
      </c>
      <c r="D27" s="47">
        <v>5.2900000000000003E-2</v>
      </c>
      <c r="E27" s="52">
        <f t="shared" si="1"/>
        <v>-6.214338172984557E-3</v>
      </c>
      <c r="F27" s="53">
        <f t="shared" si="2"/>
        <v>4.0580821917808214E-3</v>
      </c>
      <c r="G27" s="51">
        <f t="shared" si="3"/>
        <v>-1.0272420364765378E-2</v>
      </c>
      <c r="H27" s="1"/>
      <c r="I27" s="8">
        <f t="shared" si="0"/>
        <v>175.91</v>
      </c>
      <c r="J27" s="52">
        <f t="shared" si="4"/>
        <v>-6.214338172984557E-3</v>
      </c>
      <c r="K27" s="48">
        <v>17440.689999999999</v>
      </c>
      <c r="L27" s="52">
        <f t="shared" si="5"/>
        <v>-4.4591280377809794E-2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172.9</v>
      </c>
      <c r="D28" s="47">
        <v>5.28E-2</v>
      </c>
      <c r="E28" s="52">
        <f t="shared" si="1"/>
        <v>-1.7111022682053223E-2</v>
      </c>
      <c r="F28" s="53">
        <f t="shared" si="2"/>
        <v>4.0504109589041097E-3</v>
      </c>
      <c r="G28" s="51">
        <f t="shared" si="3"/>
        <v>-2.1161433640957333E-2</v>
      </c>
      <c r="H28" s="1"/>
      <c r="I28" s="8">
        <f t="shared" si="0"/>
        <v>172.9</v>
      </c>
      <c r="J28" s="52">
        <f t="shared" si="4"/>
        <v>-1.7111022682053223E-2</v>
      </c>
      <c r="K28" s="48">
        <v>18536.650000000001</v>
      </c>
      <c r="L28" s="52">
        <f t="shared" si="5"/>
        <v>6.2839256933068688E-2</v>
      </c>
      <c r="M28" s="1"/>
      <c r="N28" s="30"/>
      <c r="O28" s="1"/>
      <c r="P28" s="30" t="s">
        <v>57</v>
      </c>
      <c r="Q28" s="51">
        <f>Q18</f>
        <v>3.2946076126343073E-2</v>
      </c>
      <c r="R28" s="31"/>
    </row>
    <row r="29" spans="2:18" x14ac:dyDescent="0.2">
      <c r="B29" s="46">
        <v>45413</v>
      </c>
      <c r="C29">
        <v>164.93</v>
      </c>
      <c r="D29" s="47">
        <v>5.2699999999999997E-2</v>
      </c>
      <c r="E29" s="52">
        <f t="shared" si="1"/>
        <v>-4.6096009253904002E-2</v>
      </c>
      <c r="F29" s="53">
        <f t="shared" si="2"/>
        <v>4.0427397260273962E-3</v>
      </c>
      <c r="G29" s="51">
        <f t="shared" si="3"/>
        <v>-5.0138748979931397E-2</v>
      </c>
      <c r="H29" s="1"/>
      <c r="I29" s="8">
        <f t="shared" si="0"/>
        <v>164.93</v>
      </c>
      <c r="J29" s="52">
        <f t="shared" si="4"/>
        <v>-4.6096009253904002E-2</v>
      </c>
      <c r="K29" s="48">
        <v>19682.87</v>
      </c>
      <c r="L29" s="52">
        <f t="shared" si="5"/>
        <v>6.1835337021522108E-2</v>
      </c>
      <c r="M29" s="1"/>
      <c r="N29" s="49" t="s">
        <v>117</v>
      </c>
      <c r="O29" s="1"/>
      <c r="P29" s="30" t="s">
        <v>58</v>
      </c>
      <c r="Q29" s="67">
        <v>1.43E-2</v>
      </c>
      <c r="R29" s="31"/>
    </row>
    <row r="30" spans="2:18" ht="17" thickBot="1" x14ac:dyDescent="0.25">
      <c r="B30" s="46">
        <v>45444</v>
      </c>
      <c r="C30">
        <v>172.67</v>
      </c>
      <c r="D30" s="47">
        <v>5.2699999999999997E-2</v>
      </c>
      <c r="E30" s="52">
        <f t="shared" si="1"/>
        <v>4.6929000181895164E-2</v>
      </c>
      <c r="F30" s="53">
        <f t="shared" si="2"/>
        <v>4.0427397260273962E-3</v>
      </c>
      <c r="G30" s="51">
        <f t="shared" si="3"/>
        <v>4.288626045586777E-2</v>
      </c>
      <c r="I30" s="8">
        <f t="shared" si="0"/>
        <v>172.67</v>
      </c>
      <c r="J30" s="52">
        <f t="shared" si="4"/>
        <v>4.6929000181895164E-2</v>
      </c>
      <c r="K30" s="48">
        <v>19362.43</v>
      </c>
      <c r="L30" s="52">
        <f t="shared" si="5"/>
        <v>-1.6280146137224838E-2</v>
      </c>
      <c r="M30" s="1"/>
      <c r="N30" s="1"/>
      <c r="O30" s="1"/>
      <c r="P30" s="33"/>
      <c r="Q30" s="68">
        <f>Q28-Q29</f>
        <v>1.8646076126343072E-2</v>
      </c>
      <c r="R30" s="31">
        <v>1</v>
      </c>
    </row>
    <row r="31" spans="2:18" ht="17" thickBot="1" x14ac:dyDescent="0.25">
      <c r="B31" s="46">
        <v>45474</v>
      </c>
      <c r="C31">
        <v>172.88</v>
      </c>
      <c r="D31" s="47">
        <v>5.28E-2</v>
      </c>
      <c r="E31" s="52">
        <f t="shared" si="1"/>
        <v>1.2161927375919923E-3</v>
      </c>
      <c r="F31" s="53">
        <f t="shared" si="2"/>
        <v>4.0504109589041097E-3</v>
      </c>
      <c r="G31" s="51">
        <f t="shared" si="3"/>
        <v>-2.8342182213121174E-3</v>
      </c>
      <c r="H31" s="1"/>
      <c r="I31" s="8">
        <f t="shared" si="0"/>
        <v>172.88</v>
      </c>
      <c r="J31" s="52">
        <f t="shared" si="4"/>
        <v>1.2161927375919923E-3</v>
      </c>
      <c r="K31" s="48">
        <v>19574.64</v>
      </c>
      <c r="L31" s="52">
        <f t="shared" si="5"/>
        <v>1.0959884683895416E-2</v>
      </c>
      <c r="M31" s="1"/>
      <c r="N31" s="1"/>
      <c r="O31" s="1"/>
      <c r="P31" s="30"/>
      <c r="Q31" s="69"/>
      <c r="R31" s="133">
        <f>SUM(R10:R30)/8</f>
        <v>0.375</v>
      </c>
    </row>
    <row r="32" spans="2:18" x14ac:dyDescent="0.2">
      <c r="B32" s="46">
        <v>45505</v>
      </c>
      <c r="C32">
        <v>170.05</v>
      </c>
      <c r="D32" s="47">
        <v>5.1799999999999999E-2</v>
      </c>
      <c r="E32" s="52">
        <f t="shared" si="1"/>
        <v>-1.6369736233225241E-2</v>
      </c>
      <c r="F32" s="53">
        <f t="shared" si="2"/>
        <v>3.9736986301369863E-3</v>
      </c>
      <c r="G32" s="51">
        <f t="shared" si="3"/>
        <v>-2.0343434863362226E-2</v>
      </c>
      <c r="H32" s="1"/>
      <c r="I32" s="8">
        <f t="shared" si="0"/>
        <v>170.05</v>
      </c>
      <c r="J32" s="52">
        <f t="shared" si="4"/>
        <v>-1.6369736233225241E-2</v>
      </c>
      <c r="K32" s="48">
        <v>20060.689999999999</v>
      </c>
      <c r="L32" s="52">
        <f t="shared" si="5"/>
        <v>2.4830597139972932E-2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166.08</v>
      </c>
      <c r="D33" s="47">
        <v>4.7399999999999998E-2</v>
      </c>
      <c r="E33" s="52">
        <f t="shared" si="1"/>
        <v>-2.3346074683916473E-2</v>
      </c>
      <c r="F33" s="53">
        <f t="shared" si="2"/>
        <v>3.6361643835616433E-3</v>
      </c>
      <c r="G33" s="51">
        <f t="shared" si="3"/>
        <v>-2.6982239067478118E-2</v>
      </c>
      <c r="H33" s="1"/>
      <c r="I33" s="8">
        <f t="shared" si="0"/>
        <v>166.08</v>
      </c>
      <c r="J33" s="52">
        <f t="shared" si="4"/>
        <v>-2.3346074683916473E-2</v>
      </c>
      <c r="K33" s="48">
        <v>19890.41</v>
      </c>
      <c r="L33" s="52">
        <f t="shared" si="5"/>
        <v>-8.4882424283511115E-3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163.44999999999999</v>
      </c>
      <c r="D34" s="47">
        <v>4.58E-2</v>
      </c>
      <c r="E34" s="52">
        <f t="shared" si="1"/>
        <v>-1.583574181117553E-2</v>
      </c>
      <c r="F34" s="53">
        <f t="shared" si="2"/>
        <v>3.5134246575342465E-3</v>
      </c>
      <c r="G34" s="51">
        <f t="shared" si="3"/>
        <v>-1.9349166468709777E-2</v>
      </c>
      <c r="H34" s="1"/>
      <c r="I34" s="8">
        <f t="shared" si="0"/>
        <v>163.44999999999999</v>
      </c>
      <c r="J34" s="52">
        <f t="shared" si="4"/>
        <v>-1.583574181117553E-2</v>
      </c>
      <c r="K34" s="48">
        <v>20930.37</v>
      </c>
      <c r="L34" s="52">
        <f t="shared" si="5"/>
        <v>5.2284492878728939E-2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152.06</v>
      </c>
      <c r="D35" s="47">
        <v>4.5499999999999999E-2</v>
      </c>
      <c r="E35" s="52">
        <f t="shared" si="1"/>
        <v>-6.9684918935454143E-2</v>
      </c>
      <c r="F35" s="53">
        <f t="shared" si="2"/>
        <v>3.4904109589041091E-3</v>
      </c>
      <c r="G35" s="51">
        <f t="shared" si="3"/>
        <v>-7.3175329894358251E-2</v>
      </c>
      <c r="H35" s="1"/>
      <c r="I35" s="8">
        <f t="shared" si="0"/>
        <v>152.06</v>
      </c>
      <c r="J35" s="52">
        <f t="shared" si="4"/>
        <v>-6.9684918935454143E-2</v>
      </c>
      <c r="K35" s="48">
        <v>21012.17</v>
      </c>
      <c r="L35" s="52">
        <f t="shared" si="5"/>
        <v>3.9081965583980249E-3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150.69</v>
      </c>
      <c r="D36" s="47">
        <v>4.2200000000000001E-2</v>
      </c>
      <c r="E36" s="52">
        <f t="shared" si="1"/>
        <v>-9.0096014731027019E-3</v>
      </c>
      <c r="F36" s="53">
        <f t="shared" si="2"/>
        <v>3.2372602739726029E-3</v>
      </c>
      <c r="G36" s="51">
        <f t="shared" si="3"/>
        <v>-1.2246861747075306E-2</v>
      </c>
      <c r="H36" s="1"/>
      <c r="I36" s="8">
        <f t="shared" si="0"/>
        <v>150.69</v>
      </c>
      <c r="J36" s="52">
        <f t="shared" si="4"/>
        <v>-9.0096014731027019E-3</v>
      </c>
      <c r="K36" s="48">
        <v>21478.05</v>
      </c>
      <c r="L36" s="52">
        <f t="shared" si="5"/>
        <v>2.2171912753418566E-2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153.47</v>
      </c>
      <c r="D37" s="47">
        <v>4.2599999999999999E-2</v>
      </c>
      <c r="E37" s="52">
        <f t="shared" si="1"/>
        <v>1.8448470369633041E-2</v>
      </c>
      <c r="F37" s="53">
        <f t="shared" si="2"/>
        <v>3.267945205479452E-3</v>
      </c>
      <c r="G37" s="51">
        <f t="shared" si="3"/>
        <v>1.5180525164153589E-2</v>
      </c>
      <c r="H37" s="1"/>
      <c r="I37" s="8">
        <f t="shared" si="0"/>
        <v>153.47</v>
      </c>
      <c r="J37" s="52">
        <f t="shared" si="4"/>
        <v>1.8448470369633041E-2</v>
      </c>
      <c r="K37" s="48">
        <v>20884.41</v>
      </c>
      <c r="L37" s="52">
        <f t="shared" si="5"/>
        <v>-2.7639380670032909E-2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149.94</v>
      </c>
      <c r="D38" s="47">
        <v>4.24E-2</v>
      </c>
      <c r="E38" s="52">
        <f t="shared" si="1"/>
        <v>-2.3001238026975956E-2</v>
      </c>
      <c r="F38" s="53">
        <f t="shared" si="2"/>
        <v>3.2526027397260277E-3</v>
      </c>
      <c r="G38" s="51">
        <f t="shared" si="3"/>
        <v>-2.6253840766701984E-2</v>
      </c>
      <c r="H38" s="1"/>
      <c r="I38" s="8">
        <f t="shared" si="0"/>
        <v>149.94</v>
      </c>
      <c r="J38" s="52">
        <f t="shared" si="4"/>
        <v>-2.3001238026975956E-2</v>
      </c>
      <c r="K38" s="48">
        <v>19278.45</v>
      </c>
      <c r="L38" s="52">
        <f t="shared" si="5"/>
        <v>-7.6897551810177989E-2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135.58000000000001</v>
      </c>
      <c r="D39" s="47">
        <v>4.24E-2</v>
      </c>
      <c r="E39" s="52">
        <f t="shared" si="1"/>
        <v>-9.577164199012933E-2</v>
      </c>
      <c r="F39" s="53">
        <f t="shared" si="2"/>
        <v>3.2526027397260277E-3</v>
      </c>
      <c r="G39" s="51">
        <f t="shared" si="3"/>
        <v>-9.9024244729855354E-2</v>
      </c>
      <c r="H39" s="1"/>
      <c r="I39" s="8">
        <f t="shared" si="0"/>
        <v>135.58000000000001</v>
      </c>
      <c r="J39" s="52">
        <f t="shared" si="4"/>
        <v>-9.577164199012933E-2</v>
      </c>
      <c r="K39" s="48">
        <v>19571.02</v>
      </c>
      <c r="L39" s="52">
        <f t="shared" si="5"/>
        <v>1.51760125943734E-2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131.44999999999999</v>
      </c>
      <c r="D40" s="47">
        <v>4.2299999999999997E-2</v>
      </c>
      <c r="E40" s="52">
        <f t="shared" si="1"/>
        <v>-3.0461720017701865E-2</v>
      </c>
      <c r="F40" s="53">
        <f t="shared" si="2"/>
        <v>3.2449315068493151E-3</v>
      </c>
      <c r="G40" s="51">
        <f t="shared" si="3"/>
        <v>-3.3706651524551177E-2</v>
      </c>
      <c r="H40" s="1"/>
      <c r="I40" s="8">
        <f t="shared" si="0"/>
        <v>131.44999999999999</v>
      </c>
      <c r="J40" s="52">
        <f t="shared" si="4"/>
        <v>-3.0461720017701865E-2</v>
      </c>
      <c r="K40" s="48">
        <v>21340.99</v>
      </c>
      <c r="L40" s="52">
        <f t="shared" si="5"/>
        <v>9.04383113399303E-2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132.28</v>
      </c>
      <c r="D41" s="47">
        <v>4.2200000000000001E-2</v>
      </c>
      <c r="E41" s="52">
        <f t="shared" si="1"/>
        <v>6.3141879041461735E-3</v>
      </c>
      <c r="F41" s="53">
        <f t="shared" si="2"/>
        <v>3.2372602739726029E-3</v>
      </c>
      <c r="G41" s="51">
        <f t="shared" si="3"/>
        <v>3.0769276301735706E-3</v>
      </c>
      <c r="H41" s="1"/>
      <c r="I41" s="8">
        <f t="shared" si="0"/>
        <v>132.28</v>
      </c>
      <c r="J41" s="52">
        <f t="shared" si="4"/>
        <v>6.3141879041461735E-3</v>
      </c>
      <c r="K41" s="48">
        <v>21913.32</v>
      </c>
      <c r="L41" s="52">
        <f t="shared" si="5"/>
        <v>2.6818343478910656E-2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-1.6497710369482829E-2</v>
      </c>
      <c r="H43" s="1"/>
      <c r="I43" s="1"/>
      <c r="J43" s="1"/>
      <c r="K43" s="48" t="s">
        <v>65</v>
      </c>
      <c r="L43" s="82">
        <f>COVAR(J20:J41,L20:L41)</f>
        <v>1.2128734411220644E-4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2.111160292142152E-3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5.7450561458381073E-2</v>
      </c>
    </row>
  </sheetData>
  <mergeCells count="1">
    <mergeCell ref="B4:D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E37D2-8EAB-3F48-B1C0-791CF6AC5B77}">
  <sheetPr codeName="Sheet37"/>
  <dimension ref="B2:R45"/>
  <sheetViews>
    <sheetView zoomScale="90" zoomScaleNormal="90" workbookViewId="0"/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220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222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MSFT</v>
      </c>
      <c r="R5" s="8"/>
    </row>
    <row r="6" spans="2:18" x14ac:dyDescent="0.2">
      <c r="B6" s="1" t="s">
        <v>4</v>
      </c>
      <c r="C6" s="1" t="s">
        <v>62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NASDAQ</v>
      </c>
      <c r="R6" s="8"/>
    </row>
    <row r="7" spans="2:18" x14ac:dyDescent="0.2">
      <c r="B7" s="1" t="s">
        <v>7</v>
      </c>
      <c r="C7" s="13">
        <v>45823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474.96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36.49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-0.53</v>
      </c>
      <c r="R11" s="31">
        <f>IF(Q10&gt;Q11,0,1)</f>
        <v>0</v>
      </c>
    </row>
    <row r="12" spans="2:18" x14ac:dyDescent="0.2">
      <c r="B12" s="1" t="s">
        <v>26</v>
      </c>
      <c r="C12" s="32">
        <f>L45</f>
        <v>1.024102441233554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3.46</v>
      </c>
      <c r="R12" s="25"/>
    </row>
    <row r="13" spans="2:18" x14ac:dyDescent="0.2">
      <c r="B13" s="1" t="s">
        <v>30</v>
      </c>
      <c r="C13" s="26">
        <f>G43</f>
        <v>1.5009366496195838E-2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3.23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5.607112887012327E-2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26.96</v>
      </c>
      <c r="R14" s="31"/>
    </row>
    <row r="15" spans="2:18" ht="19" x14ac:dyDescent="0.25">
      <c r="B15" s="1" t="s">
        <v>36</v>
      </c>
      <c r="C15" s="39">
        <f>C10*(1+C14)</f>
        <v>501.59154336815368</v>
      </c>
      <c r="D15" s="1"/>
      <c r="E15" s="1"/>
      <c r="F15" s="1"/>
      <c r="G15" s="47"/>
      <c r="H15" s="1"/>
      <c r="I15" s="1"/>
      <c r="J15" s="1"/>
      <c r="K15" s="1"/>
      <c r="L15" s="1"/>
      <c r="M15" s="1"/>
      <c r="N15" s="28"/>
      <c r="O15" s="29"/>
      <c r="P15" s="33"/>
      <c r="Q15" s="165" t="s">
        <v>63</v>
      </c>
      <c r="R15" s="35">
        <f>IF(Q15="Sell",0,1)</f>
        <v>1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59.02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35.9</v>
      </c>
      <c r="R17" s="42">
        <f>IF(Q16&lt;Q17,0,1)</f>
        <v>1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 xml:space="preserve">Precio Microsoft Corporation </v>
      </c>
      <c r="J18" s="34" t="s">
        <v>45</v>
      </c>
      <c r="K18" s="34" t="str">
        <f>_xlfn.CONCAT("Precio ",C6)</f>
        <v>Precio NASDAQ</v>
      </c>
      <c r="L18" s="34" t="s">
        <v>46</v>
      </c>
      <c r="M18" s="1"/>
      <c r="N18" s="21"/>
      <c r="O18" s="22"/>
      <c r="P18" s="23" t="s">
        <v>47</v>
      </c>
      <c r="Q18" s="137">
        <f>C14</f>
        <v>5.607112887012327E-2</v>
      </c>
      <c r="R18" s="25"/>
    </row>
    <row r="19" spans="2:18" x14ac:dyDescent="0.2">
      <c r="B19" s="46">
        <v>45108</v>
      </c>
      <c r="C19">
        <v>327.76</v>
      </c>
      <c r="D19" s="47">
        <v>5.2699999999999997E-2</v>
      </c>
      <c r="E19" s="1"/>
      <c r="F19" s="1"/>
      <c r="G19" s="1"/>
      <c r="H19" s="1"/>
      <c r="I19" s="8">
        <f>C19</f>
        <v>327.76</v>
      </c>
      <c r="J19" s="8"/>
      <c r="K19" s="48">
        <v>15501.07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315.75</v>
      </c>
      <c r="D20" s="47">
        <v>5.28E-2</v>
      </c>
      <c r="E20" s="52">
        <f>C20/C19-1</f>
        <v>-3.6642665364901128E-2</v>
      </c>
      <c r="F20" s="53">
        <f>D20/365*28</f>
        <v>4.0504109589041097E-3</v>
      </c>
      <c r="G20" s="51">
        <f>E20-F20</f>
        <v>-4.0693076323805241E-2</v>
      </c>
      <c r="H20" s="1"/>
      <c r="I20" s="8">
        <f t="shared" ref="I20:I41" si="0">C20</f>
        <v>315.75</v>
      </c>
      <c r="J20" s="52">
        <f>I20/I19-1</f>
        <v>-3.6642665364901128E-2</v>
      </c>
      <c r="K20" s="48">
        <v>14715.24</v>
      </c>
      <c r="L20" s="52">
        <f>K20/K19-1</f>
        <v>-5.0695210072595032E-2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338.11</v>
      </c>
      <c r="D21" s="47">
        <v>5.2900000000000003E-2</v>
      </c>
      <c r="E21" s="52">
        <f t="shared" ref="E21:E41" si="1">C21/C20-1</f>
        <v>7.0815518606492489E-2</v>
      </c>
      <c r="F21" s="53">
        <f t="shared" ref="F21:F41" si="2">D21/365*28</f>
        <v>4.0580821917808214E-3</v>
      </c>
      <c r="G21" s="51">
        <f t="shared" ref="G21:G41" si="3">E21-F21</f>
        <v>6.6757436414711671E-2</v>
      </c>
      <c r="H21" s="1"/>
      <c r="I21" s="8">
        <f t="shared" si="0"/>
        <v>338.11</v>
      </c>
      <c r="J21" s="52">
        <f t="shared" ref="J21:J41" si="4">I21/I20-1</f>
        <v>7.0815518606492489E-2</v>
      </c>
      <c r="K21" s="48">
        <v>14409.78</v>
      </c>
      <c r="L21" s="52">
        <f t="shared" ref="L21:L41" si="5">K21/K20-1</f>
        <v>-2.0758071224118657E-2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378.91</v>
      </c>
      <c r="D22" s="47">
        <v>5.2900000000000003E-2</v>
      </c>
      <c r="E22" s="52">
        <f t="shared" si="1"/>
        <v>0.1206707876134987</v>
      </c>
      <c r="F22" s="53">
        <f t="shared" si="2"/>
        <v>4.0580821917808214E-3</v>
      </c>
      <c r="G22" s="51">
        <f t="shared" si="3"/>
        <v>0.11661270542171788</v>
      </c>
      <c r="H22" s="1"/>
      <c r="I22" s="8">
        <f t="shared" si="0"/>
        <v>378.91</v>
      </c>
      <c r="J22" s="52">
        <f t="shared" si="4"/>
        <v>0.1206707876134987</v>
      </c>
      <c r="K22" s="48">
        <v>15947.87</v>
      </c>
      <c r="L22" s="52">
        <f t="shared" si="5"/>
        <v>0.10673931177297646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C23">
        <v>376.04</v>
      </c>
      <c r="D23" s="47">
        <v>5.2900000000000003E-2</v>
      </c>
      <c r="E23" s="52">
        <f t="shared" si="1"/>
        <v>-7.57435802697215E-3</v>
      </c>
      <c r="F23" s="53">
        <f t="shared" si="2"/>
        <v>4.0580821917808214E-3</v>
      </c>
      <c r="G23" s="51">
        <f t="shared" si="3"/>
        <v>-1.1632440218752971E-2</v>
      </c>
      <c r="H23" s="1"/>
      <c r="I23" s="8">
        <f t="shared" si="0"/>
        <v>376.04</v>
      </c>
      <c r="J23" s="52">
        <f t="shared" si="4"/>
        <v>-7.57435802697215E-3</v>
      </c>
      <c r="K23" s="48">
        <v>16825.93</v>
      </c>
      <c r="L23" s="52">
        <f t="shared" si="5"/>
        <v>5.5058136290300874E-2</v>
      </c>
      <c r="M23" s="1"/>
      <c r="N23" s="57" t="s">
        <v>51</v>
      </c>
      <c r="O23" s="58" t="s">
        <v>52</v>
      </c>
      <c r="P23" s="59" t="s">
        <v>44</v>
      </c>
      <c r="Q23" s="128">
        <v>1.03</v>
      </c>
      <c r="R23" s="61">
        <f>IF(Q23&gt;1.1,0,1)</f>
        <v>1</v>
      </c>
    </row>
    <row r="24" spans="2:18" x14ac:dyDescent="0.2">
      <c r="B24" s="46">
        <v>45261</v>
      </c>
      <c r="C24">
        <v>397.58</v>
      </c>
      <c r="D24" s="47">
        <v>5.33E-2</v>
      </c>
      <c r="E24" s="52">
        <f t="shared" si="1"/>
        <v>5.7281140304222822E-2</v>
      </c>
      <c r="F24" s="53">
        <f t="shared" si="2"/>
        <v>4.0887671232876718E-3</v>
      </c>
      <c r="G24" s="51">
        <f t="shared" si="3"/>
        <v>5.319237318093515E-2</v>
      </c>
      <c r="H24" s="1"/>
      <c r="I24" s="8">
        <f t="shared" si="0"/>
        <v>397.58</v>
      </c>
      <c r="J24" s="52">
        <f t="shared" si="4"/>
        <v>5.7281140304222822E-2</v>
      </c>
      <c r="K24" s="48">
        <v>17137.240000000002</v>
      </c>
      <c r="L24" s="52">
        <f t="shared" si="5"/>
        <v>1.8501800494831633E-2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413.64</v>
      </c>
      <c r="D25" s="47">
        <v>5.2699999999999997E-2</v>
      </c>
      <c r="E25" s="52">
        <f t="shared" si="1"/>
        <v>4.0394386035514929E-2</v>
      </c>
      <c r="F25" s="53">
        <f t="shared" si="2"/>
        <v>4.0427397260273962E-3</v>
      </c>
      <c r="G25" s="51">
        <f t="shared" si="3"/>
        <v>3.6351646309487534E-2</v>
      </c>
      <c r="H25" s="1"/>
      <c r="I25" s="8">
        <f t="shared" si="0"/>
        <v>413.64</v>
      </c>
      <c r="J25" s="52">
        <f t="shared" si="4"/>
        <v>4.0394386035514929E-2</v>
      </c>
      <c r="K25" s="48">
        <v>18043.849999999999</v>
      </c>
      <c r="L25" s="52">
        <f t="shared" si="5"/>
        <v>5.2902917856084031E-2</v>
      </c>
      <c r="M25" s="1"/>
      <c r="N25" s="30"/>
      <c r="O25" s="64"/>
      <c r="P25" s="30" t="s">
        <v>23</v>
      </c>
      <c r="Q25" s="84">
        <f>Q10</f>
        <v>36.49</v>
      </c>
      <c r="R25" s="31"/>
    </row>
    <row r="26" spans="2:18" x14ac:dyDescent="0.2">
      <c r="B26" s="46">
        <v>45323</v>
      </c>
      <c r="C26">
        <v>420.72</v>
      </c>
      <c r="D26" s="47">
        <v>5.2999999999999999E-2</v>
      </c>
      <c r="E26" s="52">
        <f t="shared" si="1"/>
        <v>1.7116333043226017E-2</v>
      </c>
      <c r="F26" s="53">
        <f t="shared" si="2"/>
        <v>4.0657534246575349E-3</v>
      </c>
      <c r="G26" s="51">
        <f t="shared" si="3"/>
        <v>1.3050579618568483E-2</v>
      </c>
      <c r="H26" s="1"/>
      <c r="I26" s="8">
        <f t="shared" si="0"/>
        <v>420.72</v>
      </c>
      <c r="J26" s="52">
        <f t="shared" si="4"/>
        <v>1.7116333043226017E-2</v>
      </c>
      <c r="K26" s="48">
        <v>18254.689999999999</v>
      </c>
      <c r="L26" s="52">
        <f t="shared" si="5"/>
        <v>1.1684867697304036E-2</v>
      </c>
      <c r="M26" s="1"/>
      <c r="N26" s="49" t="s">
        <v>54</v>
      </c>
      <c r="O26" s="64"/>
      <c r="P26" s="30" t="s">
        <v>55</v>
      </c>
      <c r="Q26" s="132">
        <f>1/Q25</f>
        <v>2.7404768429706766E-2</v>
      </c>
      <c r="R26" s="31">
        <f>IF(Q26&lt;Q19,0,1)</f>
        <v>0</v>
      </c>
    </row>
    <row r="27" spans="2:18" x14ac:dyDescent="0.2">
      <c r="B27" s="46">
        <v>45352</v>
      </c>
      <c r="C27">
        <v>389.33</v>
      </c>
      <c r="D27" s="47">
        <v>5.2900000000000003E-2</v>
      </c>
      <c r="E27" s="52">
        <f t="shared" si="1"/>
        <v>-7.4610192051720925E-2</v>
      </c>
      <c r="F27" s="53">
        <f t="shared" si="2"/>
        <v>4.0580821917808214E-3</v>
      </c>
      <c r="G27" s="51">
        <f t="shared" si="3"/>
        <v>-7.8668274243501743E-2</v>
      </c>
      <c r="H27" s="1"/>
      <c r="I27" s="8">
        <f t="shared" si="0"/>
        <v>389.33</v>
      </c>
      <c r="J27" s="52">
        <f t="shared" si="4"/>
        <v>-7.4610192051720925E-2</v>
      </c>
      <c r="K27" s="48">
        <v>17440.689999999999</v>
      </c>
      <c r="L27" s="52">
        <f t="shared" si="5"/>
        <v>-4.4591280377809794E-2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415.13</v>
      </c>
      <c r="D28" s="47">
        <v>5.28E-2</v>
      </c>
      <c r="E28" s="52">
        <f t="shared" si="1"/>
        <v>6.6267690648036393E-2</v>
      </c>
      <c r="F28" s="53">
        <f t="shared" si="2"/>
        <v>4.0504109589041097E-3</v>
      </c>
      <c r="G28" s="51">
        <f t="shared" si="3"/>
        <v>6.2217279689132279E-2</v>
      </c>
      <c r="H28" s="1"/>
      <c r="I28" s="8">
        <f t="shared" si="0"/>
        <v>415.13</v>
      </c>
      <c r="J28" s="52">
        <f t="shared" si="4"/>
        <v>6.6267690648036393E-2</v>
      </c>
      <c r="K28" s="48">
        <v>18536.650000000001</v>
      </c>
      <c r="L28" s="52">
        <f t="shared" si="5"/>
        <v>6.2839256933068688E-2</v>
      </c>
      <c r="M28" s="1"/>
      <c r="N28" s="30"/>
      <c r="O28" s="1"/>
      <c r="P28" s="30" t="s">
        <v>57</v>
      </c>
      <c r="Q28" s="51">
        <f>Q18</f>
        <v>5.607112887012327E-2</v>
      </c>
      <c r="R28" s="31"/>
    </row>
    <row r="29" spans="2:18" x14ac:dyDescent="0.2">
      <c r="B29" s="46">
        <v>45413</v>
      </c>
      <c r="C29">
        <v>446.95</v>
      </c>
      <c r="D29" s="47">
        <v>5.2699999999999997E-2</v>
      </c>
      <c r="E29" s="52">
        <f t="shared" si="1"/>
        <v>7.6650687736371736E-2</v>
      </c>
      <c r="F29" s="53">
        <f t="shared" si="2"/>
        <v>4.0427397260273962E-3</v>
      </c>
      <c r="G29" s="51">
        <f t="shared" si="3"/>
        <v>7.2607948010344342E-2</v>
      </c>
      <c r="H29" s="1"/>
      <c r="I29" s="8">
        <f t="shared" si="0"/>
        <v>446.95</v>
      </c>
      <c r="J29" s="52">
        <f t="shared" si="4"/>
        <v>7.6650687736371736E-2</v>
      </c>
      <c r="K29" s="48">
        <v>19682.87</v>
      </c>
      <c r="L29" s="52">
        <f t="shared" si="5"/>
        <v>6.1835337021522108E-2</v>
      </c>
      <c r="M29" s="1"/>
      <c r="N29" s="49" t="s">
        <v>117</v>
      </c>
      <c r="O29" s="1"/>
      <c r="P29" s="30" t="s">
        <v>58</v>
      </c>
      <c r="Q29" s="67">
        <v>4.8599999999999997E-2</v>
      </c>
      <c r="R29" s="31"/>
    </row>
    <row r="30" spans="2:18" ht="17" thickBot="1" x14ac:dyDescent="0.25">
      <c r="B30" s="46">
        <v>45444</v>
      </c>
      <c r="C30">
        <v>418.35</v>
      </c>
      <c r="D30" s="47">
        <v>5.2699999999999997E-2</v>
      </c>
      <c r="E30" s="52">
        <f t="shared" si="1"/>
        <v>-6.3989260543684923E-2</v>
      </c>
      <c r="F30" s="53">
        <f t="shared" si="2"/>
        <v>4.0427397260273962E-3</v>
      </c>
      <c r="G30" s="51">
        <f t="shared" si="3"/>
        <v>-6.8032000269712317E-2</v>
      </c>
      <c r="I30" s="8">
        <f t="shared" si="0"/>
        <v>418.35</v>
      </c>
      <c r="J30" s="52">
        <f t="shared" si="4"/>
        <v>-6.3989260543684923E-2</v>
      </c>
      <c r="K30" s="48">
        <v>19362.43</v>
      </c>
      <c r="L30" s="52">
        <f t="shared" si="5"/>
        <v>-1.6280146137224838E-2</v>
      </c>
      <c r="M30" s="1"/>
      <c r="N30" s="1"/>
      <c r="O30" s="1"/>
      <c r="P30" s="33"/>
      <c r="Q30" s="68">
        <f>Q28-Q29</f>
        <v>7.4711288701232725E-3</v>
      </c>
      <c r="R30" s="31">
        <f>IF(Q28&lt;Q29,0,1)</f>
        <v>1</v>
      </c>
    </row>
    <row r="31" spans="2:18" ht="17" thickBot="1" x14ac:dyDescent="0.25">
      <c r="B31" s="46">
        <v>45474</v>
      </c>
      <c r="C31">
        <v>417.14</v>
      </c>
      <c r="D31" s="47">
        <v>5.28E-2</v>
      </c>
      <c r="E31" s="52">
        <f t="shared" si="1"/>
        <v>-2.8923150472093262E-3</v>
      </c>
      <c r="F31" s="53">
        <f t="shared" si="2"/>
        <v>4.0504109589041097E-3</v>
      </c>
      <c r="G31" s="51">
        <f t="shared" si="3"/>
        <v>-6.9427260061134359E-3</v>
      </c>
      <c r="H31" s="1"/>
      <c r="I31" s="8">
        <f t="shared" si="0"/>
        <v>417.14</v>
      </c>
      <c r="J31" s="52">
        <f t="shared" si="4"/>
        <v>-2.8923150472093262E-3</v>
      </c>
      <c r="K31" s="48">
        <v>19574.64</v>
      </c>
      <c r="L31" s="52">
        <f t="shared" si="5"/>
        <v>1.0959884683895416E-2</v>
      </c>
      <c r="M31" s="1"/>
      <c r="N31" s="1"/>
      <c r="O31" s="1"/>
      <c r="P31" s="30"/>
      <c r="Q31" s="69"/>
      <c r="R31" s="133">
        <f>SUM(R10:R30)/8</f>
        <v>0.75</v>
      </c>
    </row>
    <row r="32" spans="2:18" x14ac:dyDescent="0.2">
      <c r="B32" s="46">
        <v>45505</v>
      </c>
      <c r="C32">
        <v>430.3</v>
      </c>
      <c r="D32" s="47">
        <v>5.1799999999999999E-2</v>
      </c>
      <c r="E32" s="52">
        <f t="shared" si="1"/>
        <v>3.1548161288776022E-2</v>
      </c>
      <c r="F32" s="53">
        <f t="shared" si="2"/>
        <v>3.9736986301369863E-3</v>
      </c>
      <c r="G32" s="51">
        <f t="shared" si="3"/>
        <v>2.7574462658639037E-2</v>
      </c>
      <c r="H32" s="1"/>
      <c r="I32" s="8">
        <f t="shared" si="0"/>
        <v>430.3</v>
      </c>
      <c r="J32" s="52">
        <f t="shared" si="4"/>
        <v>3.1548161288776022E-2</v>
      </c>
      <c r="K32" s="48">
        <v>20060.689999999999</v>
      </c>
      <c r="L32" s="52">
        <f t="shared" si="5"/>
        <v>2.4830597139972932E-2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406.35</v>
      </c>
      <c r="D33" s="47">
        <v>4.7399999999999998E-2</v>
      </c>
      <c r="E33" s="52">
        <f t="shared" si="1"/>
        <v>-5.5658842667906105E-2</v>
      </c>
      <c r="F33" s="53">
        <f t="shared" si="2"/>
        <v>3.6361643835616433E-3</v>
      </c>
      <c r="G33" s="51">
        <f t="shared" si="3"/>
        <v>-5.929500705146775E-2</v>
      </c>
      <c r="H33" s="1"/>
      <c r="I33" s="8">
        <f t="shared" si="0"/>
        <v>406.35</v>
      </c>
      <c r="J33" s="52">
        <f t="shared" si="4"/>
        <v>-5.5658842667906105E-2</v>
      </c>
      <c r="K33" s="48">
        <v>19890.41</v>
      </c>
      <c r="L33" s="52">
        <f t="shared" si="5"/>
        <v>-8.4882424283511115E-3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423.46</v>
      </c>
      <c r="D34" s="47">
        <v>4.58E-2</v>
      </c>
      <c r="E34" s="52">
        <f t="shared" si="1"/>
        <v>4.2106558385627935E-2</v>
      </c>
      <c r="F34" s="53">
        <f t="shared" si="2"/>
        <v>3.5134246575342465E-3</v>
      </c>
      <c r="G34" s="51">
        <f t="shared" si="3"/>
        <v>3.8593133728093691E-2</v>
      </c>
      <c r="H34" s="1"/>
      <c r="I34" s="8">
        <f t="shared" si="0"/>
        <v>423.46</v>
      </c>
      <c r="J34" s="52">
        <f t="shared" si="4"/>
        <v>4.2106558385627935E-2</v>
      </c>
      <c r="K34" s="48">
        <v>20930.37</v>
      </c>
      <c r="L34" s="52">
        <f t="shared" si="5"/>
        <v>5.2284492878728939E-2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421.5</v>
      </c>
      <c r="D35" s="47">
        <v>4.5499999999999999E-2</v>
      </c>
      <c r="E35" s="52">
        <f t="shared" si="1"/>
        <v>-4.6285363434562798E-3</v>
      </c>
      <c r="F35" s="53">
        <f t="shared" si="2"/>
        <v>3.4904109589041091E-3</v>
      </c>
      <c r="G35" s="51">
        <f t="shared" si="3"/>
        <v>-8.1189473023603881E-3</v>
      </c>
      <c r="H35" s="1"/>
      <c r="I35" s="8">
        <f t="shared" si="0"/>
        <v>421.5</v>
      </c>
      <c r="J35" s="52">
        <f t="shared" si="4"/>
        <v>-4.6285363434562798E-3</v>
      </c>
      <c r="K35" s="48">
        <v>21012.17</v>
      </c>
      <c r="L35" s="52">
        <f t="shared" si="5"/>
        <v>3.9081965583980249E-3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415.06</v>
      </c>
      <c r="D36" s="47">
        <v>4.2200000000000001E-2</v>
      </c>
      <c r="E36" s="52">
        <f t="shared" si="1"/>
        <v>-1.5278766310794722E-2</v>
      </c>
      <c r="F36" s="53">
        <f t="shared" si="2"/>
        <v>3.2372602739726029E-3</v>
      </c>
      <c r="G36" s="51">
        <f t="shared" si="3"/>
        <v>-1.8516026584767326E-2</v>
      </c>
      <c r="H36" s="1"/>
      <c r="I36" s="8">
        <f t="shared" si="0"/>
        <v>415.06</v>
      </c>
      <c r="J36" s="52">
        <f t="shared" si="4"/>
        <v>-1.5278766310794722E-2</v>
      </c>
      <c r="K36" s="48">
        <v>21478.05</v>
      </c>
      <c r="L36" s="52">
        <f t="shared" si="5"/>
        <v>2.2171912753418566E-2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396.99</v>
      </c>
      <c r="D37" s="47">
        <v>4.2599999999999999E-2</v>
      </c>
      <c r="E37" s="52">
        <f t="shared" si="1"/>
        <v>-4.353587433142192E-2</v>
      </c>
      <c r="F37" s="53">
        <f t="shared" si="2"/>
        <v>3.267945205479452E-3</v>
      </c>
      <c r="G37" s="51">
        <f t="shared" si="3"/>
        <v>-4.6803819536901374E-2</v>
      </c>
      <c r="H37" s="1"/>
      <c r="I37" s="8">
        <f t="shared" si="0"/>
        <v>396.99</v>
      </c>
      <c r="J37" s="52">
        <f t="shared" si="4"/>
        <v>-4.353587433142192E-2</v>
      </c>
      <c r="K37" s="48">
        <v>20884.41</v>
      </c>
      <c r="L37" s="52">
        <f t="shared" si="5"/>
        <v>-2.7639380670032909E-2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375.39</v>
      </c>
      <c r="D38" s="47">
        <v>4.24E-2</v>
      </c>
      <c r="E38" s="52">
        <f t="shared" si="1"/>
        <v>-5.4409430968034522E-2</v>
      </c>
      <c r="F38" s="53">
        <f t="shared" si="2"/>
        <v>3.2526027397260277E-3</v>
      </c>
      <c r="G38" s="51">
        <f t="shared" si="3"/>
        <v>-5.7662033707760553E-2</v>
      </c>
      <c r="H38" s="1"/>
      <c r="I38" s="8">
        <f t="shared" si="0"/>
        <v>375.39</v>
      </c>
      <c r="J38" s="52">
        <f t="shared" si="4"/>
        <v>-5.4409430968034522E-2</v>
      </c>
      <c r="K38" s="48">
        <v>19278.45</v>
      </c>
      <c r="L38" s="52">
        <f t="shared" si="5"/>
        <v>-7.6897551810177989E-2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395.26</v>
      </c>
      <c r="D39" s="47">
        <v>4.24E-2</v>
      </c>
      <c r="E39" s="52">
        <f t="shared" si="1"/>
        <v>5.2931617784171214E-2</v>
      </c>
      <c r="F39" s="53">
        <f t="shared" si="2"/>
        <v>3.2526027397260277E-3</v>
      </c>
      <c r="G39" s="51">
        <f t="shared" si="3"/>
        <v>4.9679015044445184E-2</v>
      </c>
      <c r="H39" s="1"/>
      <c r="I39" s="8">
        <f t="shared" si="0"/>
        <v>395.26</v>
      </c>
      <c r="J39" s="52">
        <f t="shared" si="4"/>
        <v>5.2931617784171214E-2</v>
      </c>
      <c r="K39" s="48">
        <v>19571.02</v>
      </c>
      <c r="L39" s="52">
        <f t="shared" si="5"/>
        <v>1.51760125943734E-2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460.36</v>
      </c>
      <c r="D40" s="47">
        <v>4.2299999999999997E-2</v>
      </c>
      <c r="E40" s="52">
        <f t="shared" si="1"/>
        <v>0.16470171532662059</v>
      </c>
      <c r="F40" s="53">
        <f t="shared" si="2"/>
        <v>3.2449315068493151E-3</v>
      </c>
      <c r="G40" s="51">
        <f t="shared" si="3"/>
        <v>0.16145678381977127</v>
      </c>
      <c r="H40" s="1"/>
      <c r="I40" s="8">
        <f t="shared" si="0"/>
        <v>460.36</v>
      </c>
      <c r="J40" s="52">
        <f t="shared" si="4"/>
        <v>0.16470171532662059</v>
      </c>
      <c r="K40" s="48">
        <v>21340.99</v>
      </c>
      <c r="L40" s="52">
        <f t="shared" si="5"/>
        <v>9.04383113399303E-2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474.96</v>
      </c>
      <c r="D41" s="47">
        <v>4.2200000000000001E-2</v>
      </c>
      <c r="E41" s="52">
        <f t="shared" si="1"/>
        <v>3.1714310539577628E-2</v>
      </c>
      <c r="F41" s="53">
        <f t="shared" si="2"/>
        <v>3.2372602739726029E-3</v>
      </c>
      <c r="G41" s="51">
        <f t="shared" si="3"/>
        <v>2.8477050265605024E-2</v>
      </c>
      <c r="H41" s="1"/>
      <c r="I41" s="8">
        <f t="shared" si="0"/>
        <v>474.96</v>
      </c>
      <c r="J41" s="52">
        <f t="shared" si="4"/>
        <v>3.1714310539577628E-2</v>
      </c>
      <c r="K41" s="48">
        <v>21913.32</v>
      </c>
      <c r="L41" s="52">
        <f t="shared" si="5"/>
        <v>2.6818343478910656E-2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1.5009366496195838E-2</v>
      </c>
      <c r="H43" s="1"/>
      <c r="I43" s="1"/>
      <c r="J43" s="1"/>
      <c r="K43" s="48" t="s">
        <v>65</v>
      </c>
      <c r="L43" s="82">
        <f>COVAR(J20:J41,L20:L41)</f>
        <v>2.1620444090181207E-3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2.111160292142152E-3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1.024102441233554</v>
      </c>
    </row>
  </sheetData>
  <mergeCells count="1">
    <mergeCell ref="B4:D4"/>
  </mergeCells>
  <conditionalFormatting sqref="S10">
    <cfRule type="expression" dxfId="531" priority="19">
      <formula>IF($Q$10&gt;$Q$11,1,0)</formula>
    </cfRule>
  </conditionalFormatting>
  <conditionalFormatting sqref="Q10">
    <cfRule type="expression" dxfId="530" priority="10">
      <formula>IF($Q$10&lt;$Q$11,1,0)</formula>
    </cfRule>
    <cfRule type="expression" dxfId="529" priority="18">
      <formula>IF($Q$10&gt;$Q$11,1,0)</formula>
    </cfRule>
  </conditionalFormatting>
  <conditionalFormatting sqref="Q12">
    <cfRule type="expression" dxfId="528" priority="9">
      <formula>IF($Q$12&gt;$Q$13,1,0)</formula>
    </cfRule>
    <cfRule type="expression" dxfId="527" priority="17">
      <formula>IF($Q$12&lt;$Q$13,1,0)</formula>
    </cfRule>
  </conditionalFormatting>
  <conditionalFormatting sqref="Q14">
    <cfRule type="expression" dxfId="526" priority="16">
      <formula>IF($Q$15="Sell",1,0)</formula>
    </cfRule>
  </conditionalFormatting>
  <conditionalFormatting sqref="Q14:Q15">
    <cfRule type="expression" dxfId="525" priority="15">
      <formula>IF($Q$15="Buy",1,0)</formula>
    </cfRule>
  </conditionalFormatting>
  <conditionalFormatting sqref="Q16">
    <cfRule type="expression" dxfId="524" priority="13">
      <formula>IF($Q$16&lt;$Q$17,1,0)</formula>
    </cfRule>
    <cfRule type="expression" dxfId="523" priority="14">
      <formula>IF($Q$16&gt;$Q$17,1,0)</formula>
    </cfRule>
  </conditionalFormatting>
  <conditionalFormatting sqref="Q18">
    <cfRule type="expression" dxfId="522" priority="11">
      <formula>IF($Q$18&lt;$Q$19,1,0)</formula>
    </cfRule>
    <cfRule type="expression" dxfId="521" priority="12">
      <formula>IF($Q$18&gt;$Q$19,1,0)</formula>
    </cfRule>
  </conditionalFormatting>
  <conditionalFormatting sqref="Q23">
    <cfRule type="expression" dxfId="520" priority="7">
      <formula>IF($Q$23&lt;1.1,1,0)</formula>
    </cfRule>
    <cfRule type="expression" dxfId="519" priority="8">
      <formula>IF($Q$23&gt;1.1,1,0)</formula>
    </cfRule>
  </conditionalFormatting>
  <conditionalFormatting sqref="Q26">
    <cfRule type="expression" dxfId="518" priority="5">
      <formula>IF($Q$26&lt;$Q$19,1,0)</formula>
    </cfRule>
    <cfRule type="expression" dxfId="517" priority="6">
      <formula>IF($Q$26&gt;$Q$19,1,0)</formula>
    </cfRule>
  </conditionalFormatting>
  <conditionalFormatting sqref="Q30">
    <cfRule type="expression" dxfId="516" priority="3">
      <formula>IF($Q$28&lt;$Q$29,1,0)</formula>
    </cfRule>
    <cfRule type="expression" dxfId="515" priority="4">
      <formula>IF($Q$28&gt;$Q$29,1,0)</formula>
    </cfRule>
  </conditionalFormatting>
  <conditionalFormatting sqref="R31">
    <cfRule type="expression" dxfId="514" priority="1">
      <formula>IF($R$31&lt;0.485,1,0)</formula>
    </cfRule>
    <cfRule type="expression" dxfId="513" priority="2">
      <formula>IF($R$31&gt;0.49,1,0)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09BFA-9856-E047-B8B9-E0AB84F00FA8}">
  <sheetPr codeName="Sheet36"/>
  <dimension ref="B2:R45"/>
  <sheetViews>
    <sheetView topLeftCell="A2" zoomScale="85" zoomScaleNormal="85" workbookViewId="0">
      <selection activeCell="L40" sqref="L40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216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217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ORCL</v>
      </c>
      <c r="R5" s="8"/>
    </row>
    <row r="6" spans="2:18" x14ac:dyDescent="0.2">
      <c r="B6" s="1" t="s">
        <v>4</v>
      </c>
      <c r="C6" s="1" t="s">
        <v>218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 xml:space="preserve">NYSE </v>
      </c>
      <c r="R6" s="8"/>
    </row>
    <row r="7" spans="2:18" x14ac:dyDescent="0.2">
      <c r="B7" s="1" t="s">
        <v>7</v>
      </c>
      <c r="C7" s="13">
        <v>45821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219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214.9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40.64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-0.53</v>
      </c>
      <c r="R11" s="31">
        <f>IF(Q10&gt;Q11,0,1)</f>
        <v>0</v>
      </c>
    </row>
    <row r="12" spans="2:18" x14ac:dyDescent="0.2">
      <c r="B12" s="1" t="s">
        <v>26</v>
      </c>
      <c r="C12" s="32">
        <v>1.32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1.7</v>
      </c>
      <c r="R12" s="25"/>
    </row>
    <row r="13" spans="2:18" x14ac:dyDescent="0.2">
      <c r="B13" s="1" t="s">
        <v>30</v>
      </c>
      <c r="C13" s="26">
        <f>G43</f>
        <v>2.9218932042331544E-2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1.64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7.9268990295877639E-2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19.510000000000002</v>
      </c>
      <c r="R14" s="31"/>
    </row>
    <row r="15" spans="2:18" ht="19" x14ac:dyDescent="0.25">
      <c r="B15" s="1" t="s">
        <v>36</v>
      </c>
      <c r="C15" s="39">
        <f>C10*(1+C14)</f>
        <v>231.9349060145841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118</v>
      </c>
      <c r="R15" s="35">
        <f>IF(Q15="Sell",0,1)</f>
        <v>1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168.85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35.9</v>
      </c>
      <c r="R17" s="42">
        <f>IF(Q16&lt;Q17,0,1)</f>
        <v>1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 xml:space="preserve">Precio Oracle Corporation </v>
      </c>
      <c r="J18" s="34" t="s">
        <v>45</v>
      </c>
      <c r="K18" s="34" t="str">
        <f>_xlfn.CONCAT("Precio ",C6)</f>
        <v xml:space="preserve">Precio NYSE </v>
      </c>
      <c r="L18" s="34" t="s">
        <v>46</v>
      </c>
      <c r="M18" s="1"/>
      <c r="N18" s="21"/>
      <c r="O18" s="22"/>
      <c r="P18" s="23" t="s">
        <v>47</v>
      </c>
      <c r="Q18" s="137">
        <f>C14</f>
        <v>7.9268990295877639E-2</v>
      </c>
      <c r="R18" s="25"/>
    </row>
    <row r="19" spans="2:18" x14ac:dyDescent="0.2">
      <c r="B19" s="46">
        <v>45108</v>
      </c>
      <c r="C19">
        <v>120.39</v>
      </c>
      <c r="D19" s="47">
        <v>5.2699999999999997E-2</v>
      </c>
      <c r="E19" s="1"/>
      <c r="F19" s="1"/>
      <c r="G19" s="1"/>
      <c r="H19" s="1"/>
      <c r="I19" s="8">
        <f>C19</f>
        <v>120.39</v>
      </c>
      <c r="J19" s="8"/>
      <c r="K19" s="48">
        <v>16000.4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105.92</v>
      </c>
      <c r="D20" s="47">
        <v>5.28E-2</v>
      </c>
      <c r="E20" s="52">
        <f>C20/C19-1</f>
        <v>-0.12019270703546803</v>
      </c>
      <c r="F20" s="53">
        <f>D20/365*28</f>
        <v>4.0504109589041097E-3</v>
      </c>
      <c r="G20" s="51">
        <f>E20-F20</f>
        <v>-0.12424311799437214</v>
      </c>
      <c r="H20" s="1"/>
      <c r="I20" s="8">
        <f t="shared" ref="I20:I41" si="0">C20</f>
        <v>105.92</v>
      </c>
      <c r="J20" s="52">
        <f>I20/I19-1</f>
        <v>-0.12019270703546803</v>
      </c>
      <c r="K20" s="48">
        <v>15398.2</v>
      </c>
      <c r="L20" s="52">
        <f>K20/K19-1</f>
        <v>-3.7636559086022814E-2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103.4</v>
      </c>
      <c r="D21" s="47">
        <v>5.2900000000000003E-2</v>
      </c>
      <c r="E21" s="52">
        <f t="shared" ref="E21:E41" si="1">C21/C20-1</f>
        <v>-2.3791540785498499E-2</v>
      </c>
      <c r="F21" s="53">
        <f t="shared" ref="F21:F41" si="2">D21/365*28</f>
        <v>4.0580821917808214E-3</v>
      </c>
      <c r="G21" s="51">
        <f t="shared" ref="G21:G41" si="3">E21-F21</f>
        <v>-2.7849622977279321E-2</v>
      </c>
      <c r="H21" s="1"/>
      <c r="I21" s="8">
        <f t="shared" si="0"/>
        <v>103.4</v>
      </c>
      <c r="J21" s="52">
        <f t="shared" ref="J21:J41" si="4">I21/I20-1</f>
        <v>-2.3791540785498499E-2</v>
      </c>
      <c r="K21" s="48">
        <v>14919.2</v>
      </c>
      <c r="L21" s="52">
        <f t="shared" ref="L21:L41" si="5">K21/K20-1</f>
        <v>-3.1107532049200581E-2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116.21</v>
      </c>
      <c r="D22" s="47">
        <v>5.2900000000000003E-2</v>
      </c>
      <c r="E22" s="52">
        <f t="shared" si="1"/>
        <v>0.12388781431334617</v>
      </c>
      <c r="F22" s="53">
        <f t="shared" si="2"/>
        <v>4.0580821917808214E-3</v>
      </c>
      <c r="G22" s="51">
        <f t="shared" si="3"/>
        <v>0.11982973212156535</v>
      </c>
      <c r="H22" s="1"/>
      <c r="I22" s="8">
        <f t="shared" si="0"/>
        <v>116.21</v>
      </c>
      <c r="J22" s="52">
        <f t="shared" si="4"/>
        <v>0.12388781431334617</v>
      </c>
      <c r="K22" s="48">
        <v>16088.8</v>
      </c>
      <c r="L22" s="52">
        <f t="shared" si="5"/>
        <v>7.8395624430264155E-2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C23">
        <v>105.43</v>
      </c>
      <c r="D23" s="47">
        <v>5.2900000000000003E-2</v>
      </c>
      <c r="E23" s="52">
        <f t="shared" si="1"/>
        <v>-9.2763101282161475E-2</v>
      </c>
      <c r="F23" s="53">
        <f t="shared" si="2"/>
        <v>4.0580821917808214E-3</v>
      </c>
      <c r="G23" s="51">
        <f t="shared" si="3"/>
        <v>-9.6821183473942293E-2</v>
      </c>
      <c r="H23" s="1"/>
      <c r="I23" s="8">
        <f t="shared" si="0"/>
        <v>105.43</v>
      </c>
      <c r="J23" s="52">
        <f t="shared" si="4"/>
        <v>-9.2763101282161475E-2</v>
      </c>
      <c r="K23" s="48">
        <v>16852.900000000001</v>
      </c>
      <c r="L23" s="52">
        <f t="shared" si="5"/>
        <v>4.7492665705335613E-2</v>
      </c>
      <c r="M23" s="1"/>
      <c r="N23" s="57" t="s">
        <v>51</v>
      </c>
      <c r="O23" s="58" t="s">
        <v>52</v>
      </c>
      <c r="P23" s="59" t="s">
        <v>44</v>
      </c>
      <c r="Q23" s="128">
        <v>1.32</v>
      </c>
      <c r="R23" s="61">
        <f>IF(Q23&gt;1.1,0,1)</f>
        <v>0</v>
      </c>
    </row>
    <row r="24" spans="2:18" x14ac:dyDescent="0.2">
      <c r="B24" s="46">
        <v>45261</v>
      </c>
      <c r="C24">
        <v>111.7</v>
      </c>
      <c r="D24" s="47">
        <v>5.33E-2</v>
      </c>
      <c r="E24" s="52">
        <f t="shared" si="1"/>
        <v>5.9470738878876883E-2</v>
      </c>
      <c r="F24" s="53">
        <f t="shared" si="2"/>
        <v>4.0887671232876718E-3</v>
      </c>
      <c r="G24" s="51">
        <f t="shared" si="3"/>
        <v>5.5381971755589211E-2</v>
      </c>
      <c r="H24" s="1"/>
      <c r="I24" s="8">
        <f t="shared" si="0"/>
        <v>111.7</v>
      </c>
      <c r="J24" s="52">
        <f t="shared" si="4"/>
        <v>5.9470738878876883E-2</v>
      </c>
      <c r="K24" s="48">
        <v>16911.099999999999</v>
      </c>
      <c r="L24" s="52">
        <f t="shared" si="5"/>
        <v>3.4534115790159081E-3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111.68</v>
      </c>
      <c r="D25" s="47">
        <v>5.2699999999999997E-2</v>
      </c>
      <c r="E25" s="52">
        <f t="shared" si="1"/>
        <v>-1.790510295434089E-4</v>
      </c>
      <c r="F25" s="53">
        <f t="shared" si="2"/>
        <v>4.0427397260273962E-3</v>
      </c>
      <c r="G25" s="51">
        <f t="shared" si="3"/>
        <v>-4.2217907555708051E-3</v>
      </c>
      <c r="H25" s="1"/>
      <c r="I25" s="8">
        <f t="shared" si="0"/>
        <v>111.68</v>
      </c>
      <c r="J25" s="52">
        <f t="shared" si="4"/>
        <v>-1.790510295434089E-4</v>
      </c>
      <c r="K25" s="48">
        <v>17607.400000000001</v>
      </c>
      <c r="L25" s="52">
        <f t="shared" si="5"/>
        <v>4.1174140061853048E-2</v>
      </c>
      <c r="M25" s="1"/>
      <c r="N25" s="30"/>
      <c r="O25" s="64"/>
      <c r="P25" s="30" t="s">
        <v>23</v>
      </c>
      <c r="Q25" s="84">
        <f>Q10</f>
        <v>40.64</v>
      </c>
      <c r="R25" s="31"/>
    </row>
    <row r="26" spans="2:18" x14ac:dyDescent="0.2">
      <c r="B26" s="46">
        <v>45323</v>
      </c>
      <c r="C26">
        <v>125.61</v>
      </c>
      <c r="D26" s="47">
        <v>5.2999999999999999E-2</v>
      </c>
      <c r="E26" s="52">
        <f t="shared" si="1"/>
        <v>0.12473137535816603</v>
      </c>
      <c r="F26" s="53">
        <f t="shared" si="2"/>
        <v>4.0657534246575349E-3</v>
      </c>
      <c r="G26" s="51">
        <f t="shared" si="3"/>
        <v>0.12066562193350849</v>
      </c>
      <c r="H26" s="1"/>
      <c r="I26" s="8">
        <f t="shared" si="0"/>
        <v>125.61</v>
      </c>
      <c r="J26" s="52">
        <f t="shared" si="4"/>
        <v>0.12473137535816603</v>
      </c>
      <c r="K26" s="48">
        <v>18312.7</v>
      </c>
      <c r="L26" s="52">
        <f t="shared" si="5"/>
        <v>4.0057021479605215E-2</v>
      </c>
      <c r="M26" s="1"/>
      <c r="N26" s="49" t="s">
        <v>54</v>
      </c>
      <c r="O26" s="64"/>
      <c r="P26" s="30" t="s">
        <v>55</v>
      </c>
      <c r="Q26" s="132">
        <f>1/Q25</f>
        <v>2.4606299212598423E-2</v>
      </c>
      <c r="R26" s="31">
        <f>IF(Q26&lt;Q19,0,1)</f>
        <v>0</v>
      </c>
    </row>
    <row r="27" spans="2:18" x14ac:dyDescent="0.2">
      <c r="B27" s="46">
        <v>45352</v>
      </c>
      <c r="C27">
        <v>113.75</v>
      </c>
      <c r="D27" s="47">
        <v>5.2900000000000003E-2</v>
      </c>
      <c r="E27" s="52">
        <f t="shared" si="1"/>
        <v>-9.4419234137409491E-2</v>
      </c>
      <c r="F27" s="53">
        <f t="shared" si="2"/>
        <v>4.0580821917808214E-3</v>
      </c>
      <c r="G27" s="51">
        <f t="shared" si="3"/>
        <v>-9.8477316329190309E-2</v>
      </c>
      <c r="H27" s="1"/>
      <c r="I27" s="8">
        <f t="shared" si="0"/>
        <v>113.75</v>
      </c>
      <c r="J27" s="52">
        <f t="shared" si="4"/>
        <v>-9.4419234137409491E-2</v>
      </c>
      <c r="K27" s="48">
        <v>17603.3</v>
      </c>
      <c r="L27" s="52">
        <f t="shared" si="5"/>
        <v>-3.8738143474201014E-2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117.19</v>
      </c>
      <c r="D28" s="47">
        <v>5.28E-2</v>
      </c>
      <c r="E28" s="52">
        <f t="shared" si="1"/>
        <v>3.0241758241758232E-2</v>
      </c>
      <c r="F28" s="53">
        <f t="shared" si="2"/>
        <v>4.0504109589041097E-3</v>
      </c>
      <c r="G28" s="51">
        <f t="shared" si="3"/>
        <v>2.6191347282854122E-2</v>
      </c>
      <c r="H28" s="1"/>
      <c r="I28" s="8">
        <f t="shared" si="0"/>
        <v>117.19</v>
      </c>
      <c r="J28" s="52">
        <f t="shared" si="4"/>
        <v>3.0241758241758232E-2</v>
      </c>
      <c r="K28" s="48">
        <v>18083.7</v>
      </c>
      <c r="L28" s="52">
        <f t="shared" si="5"/>
        <v>2.7290337607153381E-2</v>
      </c>
      <c r="M28" s="1"/>
      <c r="N28" s="30"/>
      <c r="O28" s="1"/>
      <c r="P28" s="30" t="s">
        <v>57</v>
      </c>
      <c r="Q28" s="51">
        <f>Q18</f>
        <v>7.9268990295877639E-2</v>
      </c>
      <c r="R28" s="31"/>
    </row>
    <row r="29" spans="2:18" x14ac:dyDescent="0.2">
      <c r="B29" s="46">
        <v>45413</v>
      </c>
      <c r="C29">
        <v>141.19999999999999</v>
      </c>
      <c r="D29" s="47">
        <v>5.2699999999999997E-2</v>
      </c>
      <c r="E29" s="52">
        <f t="shared" si="1"/>
        <v>0.20488096253946586</v>
      </c>
      <c r="F29" s="53">
        <f t="shared" si="2"/>
        <v>4.0427397260273962E-3</v>
      </c>
      <c r="G29" s="51">
        <f t="shared" si="3"/>
        <v>0.20083822281343847</v>
      </c>
      <c r="H29" s="1"/>
      <c r="I29" s="8">
        <f t="shared" si="0"/>
        <v>141.19999999999999</v>
      </c>
      <c r="J29" s="52">
        <f t="shared" si="4"/>
        <v>0.20488096253946586</v>
      </c>
      <c r="K29" s="48">
        <v>18026.5</v>
      </c>
      <c r="L29" s="52">
        <f t="shared" si="5"/>
        <v>-3.1630695045815616E-3</v>
      </c>
      <c r="M29" s="1"/>
      <c r="N29" s="49" t="s">
        <v>117</v>
      </c>
      <c r="O29" s="1"/>
      <c r="P29" s="30" t="s">
        <v>58</v>
      </c>
      <c r="Q29" s="67">
        <v>0.42359999999999998</v>
      </c>
      <c r="R29" s="31"/>
    </row>
    <row r="30" spans="2:18" ht="17" thickBot="1" x14ac:dyDescent="0.25">
      <c r="B30" s="46">
        <v>45444</v>
      </c>
      <c r="C30">
        <v>139.44999999999999</v>
      </c>
      <c r="D30" s="47">
        <v>5.2699999999999997E-2</v>
      </c>
      <c r="E30" s="52">
        <f t="shared" si="1"/>
        <v>-1.2393767705382475E-2</v>
      </c>
      <c r="F30" s="53">
        <f t="shared" si="2"/>
        <v>4.0427397260273962E-3</v>
      </c>
      <c r="G30" s="51">
        <f t="shared" si="3"/>
        <v>-1.6436507431409869E-2</v>
      </c>
      <c r="I30" s="8">
        <f t="shared" si="0"/>
        <v>139.44999999999999</v>
      </c>
      <c r="J30" s="52">
        <f t="shared" si="4"/>
        <v>-1.2393767705382475E-2</v>
      </c>
      <c r="K30" s="48">
        <v>18710</v>
      </c>
      <c r="L30" s="52">
        <f t="shared" si="5"/>
        <v>3.7916400854297816E-2</v>
      </c>
      <c r="M30" s="1"/>
      <c r="N30" s="1"/>
      <c r="O30" s="1"/>
      <c r="P30" s="33"/>
      <c r="Q30" s="68">
        <f>Q28-Q29</f>
        <v>-0.34433100970412234</v>
      </c>
      <c r="R30" s="31">
        <f>IF(Q28&lt;Q29,0,1)</f>
        <v>0</v>
      </c>
    </row>
    <row r="31" spans="2:18" ht="17" thickBot="1" x14ac:dyDescent="0.25">
      <c r="B31" s="46">
        <v>45474</v>
      </c>
      <c r="C31">
        <v>141.29</v>
      </c>
      <c r="D31" s="47">
        <v>5.28E-2</v>
      </c>
      <c r="E31" s="52">
        <f t="shared" si="1"/>
        <v>1.3194693438508542E-2</v>
      </c>
      <c r="F31" s="53">
        <f t="shared" si="2"/>
        <v>4.0504109589041097E-3</v>
      </c>
      <c r="G31" s="51">
        <f t="shared" si="3"/>
        <v>9.1442824796044327E-3</v>
      </c>
      <c r="H31" s="1"/>
      <c r="I31" s="8">
        <f t="shared" si="0"/>
        <v>141.29</v>
      </c>
      <c r="J31" s="52">
        <f t="shared" si="4"/>
        <v>1.3194693438508542E-2</v>
      </c>
      <c r="K31" s="48">
        <v>19292.2</v>
      </c>
      <c r="L31" s="52">
        <f t="shared" si="5"/>
        <v>3.1117049706039568E-2</v>
      </c>
      <c r="M31" s="1"/>
      <c r="N31" s="1"/>
      <c r="O31" s="1"/>
      <c r="P31" s="30"/>
      <c r="Q31" s="69"/>
      <c r="R31" s="133">
        <f>SUM(R10:R30)/8</f>
        <v>0.5</v>
      </c>
    </row>
    <row r="32" spans="2:18" x14ac:dyDescent="0.2">
      <c r="B32" s="46">
        <v>45505</v>
      </c>
      <c r="C32">
        <v>170.4</v>
      </c>
      <c r="D32" s="47">
        <v>5.1799999999999999E-2</v>
      </c>
      <c r="E32" s="52">
        <f t="shared" si="1"/>
        <v>0.20603015075376896</v>
      </c>
      <c r="F32" s="53">
        <f t="shared" si="2"/>
        <v>3.9736986301369863E-3</v>
      </c>
      <c r="G32" s="51">
        <f t="shared" si="3"/>
        <v>0.20205645212363196</v>
      </c>
      <c r="H32" s="1"/>
      <c r="I32" s="8">
        <f t="shared" si="0"/>
        <v>170.4</v>
      </c>
      <c r="J32" s="52">
        <f t="shared" si="4"/>
        <v>0.20603015075376896</v>
      </c>
      <c r="K32" s="48">
        <v>19516.400000000001</v>
      </c>
      <c r="L32" s="52">
        <f t="shared" si="5"/>
        <v>1.1621276992774376E-2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167.84</v>
      </c>
      <c r="D33" s="47">
        <v>4.7399999999999998E-2</v>
      </c>
      <c r="E33" s="52">
        <f t="shared" si="1"/>
        <v>-1.5023474178403773E-2</v>
      </c>
      <c r="F33" s="53">
        <f t="shared" si="2"/>
        <v>3.6361643835616433E-3</v>
      </c>
      <c r="G33" s="51">
        <f t="shared" si="3"/>
        <v>-1.8659638561965418E-2</v>
      </c>
      <c r="H33" s="1"/>
      <c r="I33" s="8">
        <f t="shared" si="0"/>
        <v>167.84</v>
      </c>
      <c r="J33" s="52">
        <f t="shared" si="4"/>
        <v>-1.5023474178403773E-2</v>
      </c>
      <c r="K33" s="48">
        <v>19239</v>
      </c>
      <c r="L33" s="52">
        <f t="shared" si="5"/>
        <v>-1.4213686950462212E-2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184.84</v>
      </c>
      <c r="D34" s="47">
        <v>4.58E-2</v>
      </c>
      <c r="E34" s="52">
        <f t="shared" si="1"/>
        <v>0.10128693994280269</v>
      </c>
      <c r="F34" s="53">
        <f t="shared" si="2"/>
        <v>3.5134246575342465E-3</v>
      </c>
      <c r="G34" s="51">
        <f t="shared" si="3"/>
        <v>9.7773515285268439E-2</v>
      </c>
      <c r="H34" s="1"/>
      <c r="I34" s="8">
        <f t="shared" si="0"/>
        <v>184.84</v>
      </c>
      <c r="J34" s="52">
        <f t="shared" si="4"/>
        <v>0.10128693994280269</v>
      </c>
      <c r="K34" s="48">
        <v>20272</v>
      </c>
      <c r="L34" s="52">
        <f t="shared" si="5"/>
        <v>5.3693019387702101E-2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166.64</v>
      </c>
      <c r="D35" s="47">
        <v>4.5499999999999999E-2</v>
      </c>
      <c r="E35" s="52">
        <f t="shared" si="1"/>
        <v>-9.8463536031162202E-2</v>
      </c>
      <c r="F35" s="53">
        <f t="shared" si="2"/>
        <v>3.4904109589041091E-3</v>
      </c>
      <c r="G35" s="51">
        <f t="shared" si="3"/>
        <v>-0.10195394699006631</v>
      </c>
      <c r="H35" s="1"/>
      <c r="I35" s="8">
        <f t="shared" si="0"/>
        <v>166.64</v>
      </c>
      <c r="J35" s="52">
        <f t="shared" si="4"/>
        <v>-9.8463536031162202E-2</v>
      </c>
      <c r="K35" s="48">
        <v>19097.099999999999</v>
      </c>
      <c r="L35" s="52">
        <f t="shared" si="5"/>
        <v>-5.7956787687450717E-2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170.06</v>
      </c>
      <c r="D36" s="47">
        <v>4.2200000000000001E-2</v>
      </c>
      <c r="E36" s="52">
        <f t="shared" si="1"/>
        <v>2.0523283725396135E-2</v>
      </c>
      <c r="F36" s="53">
        <f t="shared" si="2"/>
        <v>3.2372602739726029E-3</v>
      </c>
      <c r="G36" s="51">
        <f t="shared" si="3"/>
        <v>1.7286023451423532E-2</v>
      </c>
      <c r="H36" s="1"/>
      <c r="I36" s="8">
        <f t="shared" si="0"/>
        <v>170.06</v>
      </c>
      <c r="J36" s="52">
        <f t="shared" si="4"/>
        <v>2.0523283725396135E-2</v>
      </c>
      <c r="K36" s="48">
        <v>19998.8</v>
      </c>
      <c r="L36" s="52">
        <f t="shared" si="5"/>
        <v>4.7216593095286807E-2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166.06</v>
      </c>
      <c r="D37" s="47">
        <v>4.2599999999999999E-2</v>
      </c>
      <c r="E37" s="52">
        <f t="shared" si="1"/>
        <v>-2.352111019640124E-2</v>
      </c>
      <c r="F37" s="53">
        <f t="shared" si="2"/>
        <v>3.267945205479452E-3</v>
      </c>
      <c r="G37" s="51">
        <f t="shared" si="3"/>
        <v>-2.6789055401880691E-2</v>
      </c>
      <c r="H37" s="1"/>
      <c r="I37" s="8">
        <f t="shared" si="0"/>
        <v>166.06</v>
      </c>
      <c r="J37" s="52">
        <f t="shared" si="4"/>
        <v>-2.352111019640124E-2</v>
      </c>
      <c r="K37" s="48">
        <v>20028.2</v>
      </c>
      <c r="L37" s="52">
        <f t="shared" si="5"/>
        <v>1.4700882052924857E-3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139.81</v>
      </c>
      <c r="D38" s="47">
        <v>4.24E-2</v>
      </c>
      <c r="E38" s="52">
        <f t="shared" si="1"/>
        <v>-0.15807539443574614</v>
      </c>
      <c r="F38" s="53">
        <f t="shared" si="2"/>
        <v>3.2526027397260277E-3</v>
      </c>
      <c r="G38" s="51">
        <f t="shared" si="3"/>
        <v>-0.16132799717547217</v>
      </c>
      <c r="H38" s="1"/>
      <c r="I38" s="8">
        <f t="shared" si="0"/>
        <v>139.81</v>
      </c>
      <c r="J38" s="52">
        <f t="shared" si="4"/>
        <v>-0.15807539443574614</v>
      </c>
      <c r="K38" s="48">
        <v>19395.900000000001</v>
      </c>
      <c r="L38" s="52">
        <f t="shared" si="5"/>
        <v>-3.1570485615282418E-2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140.72</v>
      </c>
      <c r="D39" s="47">
        <v>4.24E-2</v>
      </c>
      <c r="E39" s="52">
        <f t="shared" si="1"/>
        <v>6.5088334167799911E-3</v>
      </c>
      <c r="F39" s="53">
        <f t="shared" si="2"/>
        <v>3.2526027397260277E-3</v>
      </c>
      <c r="G39" s="51">
        <f t="shared" si="3"/>
        <v>3.2562306770539634E-3</v>
      </c>
      <c r="H39" s="1"/>
      <c r="I39" s="8">
        <f t="shared" si="0"/>
        <v>140.72</v>
      </c>
      <c r="J39" s="52">
        <f t="shared" si="4"/>
        <v>6.5088334167799911E-3</v>
      </c>
      <c r="K39" s="48">
        <v>19114.2</v>
      </c>
      <c r="L39" s="52">
        <f t="shared" si="5"/>
        <v>-1.4523687995916745E-2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165.53</v>
      </c>
      <c r="D40" s="47">
        <v>4.2299999999999997E-2</v>
      </c>
      <c r="E40" s="52">
        <f t="shared" si="1"/>
        <v>0.17630756111426948</v>
      </c>
      <c r="F40" s="53">
        <f t="shared" si="2"/>
        <v>3.2449315068493151E-3</v>
      </c>
      <c r="G40" s="51">
        <f t="shared" si="3"/>
        <v>0.17306262960742017</v>
      </c>
      <c r="H40" s="1"/>
      <c r="I40" s="8">
        <f t="shared" si="0"/>
        <v>165.53</v>
      </c>
      <c r="J40" s="52">
        <f t="shared" si="4"/>
        <v>0.17630756111426948</v>
      </c>
      <c r="K40" s="48">
        <v>19783.8</v>
      </c>
      <c r="L40" s="52">
        <f t="shared" si="5"/>
        <v>3.5031547226669124E-2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214.75</v>
      </c>
      <c r="D41" s="47">
        <v>4.2200000000000001E-2</v>
      </c>
      <c r="E41" s="52">
        <f t="shared" si="1"/>
        <v>0.29734791276505779</v>
      </c>
      <c r="F41" s="53">
        <f t="shared" si="2"/>
        <v>3.2372602739726029E-3</v>
      </c>
      <c r="G41" s="51">
        <f t="shared" si="3"/>
        <v>0.2941106524910852</v>
      </c>
      <c r="H41" s="1"/>
      <c r="I41" s="8">
        <f t="shared" si="0"/>
        <v>214.75</v>
      </c>
      <c r="J41" s="52">
        <f t="shared" si="4"/>
        <v>0.29734791276505779</v>
      </c>
      <c r="K41" s="48">
        <v>19981.099999999999</v>
      </c>
      <c r="L41" s="52">
        <f t="shared" si="5"/>
        <v>9.9728060332191504E-3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2.9218932042331544E-2</v>
      </c>
      <c r="H43" s="1"/>
      <c r="I43" s="1"/>
      <c r="J43" s="1"/>
      <c r="K43" s="48" t="s">
        <v>65</v>
      </c>
      <c r="L43" s="82">
        <f>COVAR(J20:J41,L20:L41)</f>
        <v>1.8385953131501024E-3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1.3119365558916414E-3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1.4014361478787547</v>
      </c>
    </row>
  </sheetData>
  <mergeCells count="1">
    <mergeCell ref="B4:D4"/>
  </mergeCells>
  <conditionalFormatting sqref="S10">
    <cfRule type="expression" dxfId="512" priority="19">
      <formula>IF($Q$10&gt;$Q$11,1,0)</formula>
    </cfRule>
  </conditionalFormatting>
  <conditionalFormatting sqref="Q10">
    <cfRule type="expression" dxfId="511" priority="10">
      <formula>IF($Q$10&lt;$Q$11,1,0)</formula>
    </cfRule>
    <cfRule type="expression" dxfId="510" priority="18">
      <formula>IF($Q$10&gt;$Q$11,1,0)</formula>
    </cfRule>
  </conditionalFormatting>
  <conditionalFormatting sqref="Q12">
    <cfRule type="expression" dxfId="509" priority="9">
      <formula>IF($Q$12&gt;$Q$13,1,0)</formula>
    </cfRule>
    <cfRule type="expression" dxfId="508" priority="17">
      <formula>IF($Q$12&lt;$Q$13,1,0)</formula>
    </cfRule>
  </conditionalFormatting>
  <conditionalFormatting sqref="Q14">
    <cfRule type="expression" dxfId="507" priority="16">
      <formula>IF($Q$15="Sell",1,0)</formula>
    </cfRule>
  </conditionalFormatting>
  <conditionalFormatting sqref="Q14:Q15">
    <cfRule type="expression" dxfId="506" priority="15">
      <formula>IF($Q$15="Buy",1,0)</formula>
    </cfRule>
  </conditionalFormatting>
  <conditionalFormatting sqref="Q16">
    <cfRule type="expression" dxfId="505" priority="13">
      <formula>IF($Q$16&lt;$Q$17,1,0)</formula>
    </cfRule>
    <cfRule type="expression" dxfId="504" priority="14">
      <formula>IF($Q$16&gt;$Q$17,1,0)</formula>
    </cfRule>
  </conditionalFormatting>
  <conditionalFormatting sqref="Q18">
    <cfRule type="expression" dxfId="503" priority="11">
      <formula>IF($Q$18&lt;$Q$19,1,0)</formula>
    </cfRule>
    <cfRule type="expression" dxfId="502" priority="12">
      <formula>IF($Q$18&gt;$Q$19,1,0)</formula>
    </cfRule>
  </conditionalFormatting>
  <conditionalFormatting sqref="Q23">
    <cfRule type="expression" dxfId="501" priority="7">
      <formula>IF($Q$23&lt;1.1,1,0)</formula>
    </cfRule>
    <cfRule type="expression" dxfId="500" priority="8">
      <formula>IF($Q$23&gt;1.1,1,0)</formula>
    </cfRule>
  </conditionalFormatting>
  <conditionalFormatting sqref="Q26">
    <cfRule type="expression" dxfId="499" priority="5">
      <formula>IF($Q$26&lt;$Q$19,1,0)</formula>
    </cfRule>
    <cfRule type="expression" dxfId="498" priority="6">
      <formula>IF($Q$26&gt;$Q$19,1,0)</formula>
    </cfRule>
  </conditionalFormatting>
  <conditionalFormatting sqref="Q30">
    <cfRule type="expression" dxfId="497" priority="3">
      <formula>IF($Q$28&lt;$Q$29,1,0)</formula>
    </cfRule>
    <cfRule type="expression" dxfId="496" priority="4">
      <formula>IF($Q$28&gt;$Q$29,1,0)</formula>
    </cfRule>
  </conditionalFormatting>
  <conditionalFormatting sqref="R31">
    <cfRule type="expression" dxfId="495" priority="1">
      <formula>IF($R$31&lt;0.485,1,0)</formula>
    </cfRule>
    <cfRule type="expression" dxfId="494" priority="2">
      <formula>IF($R$31&gt;0.49,1,0)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2A250-3460-44B4-A81B-6E4C4E64A34D}">
  <sheetPr codeName="Sheet35"/>
  <dimension ref="B2:T45"/>
  <sheetViews>
    <sheetView zoomScaleNormal="110" workbookViewId="0">
      <selection activeCell="V32" sqref="V32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  <col min="19" max="19" width="0" hidden="1" customWidth="1"/>
  </cols>
  <sheetData>
    <row r="2" spans="2:18" ht="24" x14ac:dyDescent="0.3">
      <c r="B2" s="7" t="s">
        <v>213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214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BABA</v>
      </c>
      <c r="R5" s="8"/>
    </row>
    <row r="6" spans="2:18" x14ac:dyDescent="0.2">
      <c r="B6" s="1" t="s">
        <v>4</v>
      </c>
      <c r="C6" s="1" t="s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NYSE</v>
      </c>
      <c r="R6" s="8"/>
    </row>
    <row r="7" spans="2:18" x14ac:dyDescent="0.2">
      <c r="B7" s="1" t="s">
        <v>7</v>
      </c>
      <c r="C7" s="13">
        <v>45821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112.87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15.71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-0.53</v>
      </c>
      <c r="R11" s="31">
        <f>IF(Q10&gt;Q11,0,1)</f>
        <v>0</v>
      </c>
    </row>
    <row r="12" spans="2:18" x14ac:dyDescent="0.2">
      <c r="B12" s="1" t="s">
        <v>26</v>
      </c>
      <c r="C12" s="32">
        <f>Q23</f>
        <v>0.21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12.52</v>
      </c>
      <c r="R12" s="25"/>
    </row>
    <row r="13" spans="2:18" x14ac:dyDescent="0.2">
      <c r="B13" s="1" t="s">
        <v>30</v>
      </c>
      <c r="C13" s="26">
        <f>G43</f>
        <v>1.1312488575992151E-2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12.81</v>
      </c>
      <c r="R13" s="35">
        <f>IF(Q12&lt;Q13,0,1)</f>
        <v>0</v>
      </c>
    </row>
    <row r="14" spans="2:18" x14ac:dyDescent="0.2">
      <c r="B14" s="1" t="s">
        <v>32</v>
      </c>
      <c r="C14" s="36">
        <f>C11+(C12*C13)</f>
        <v>4.3075622600958353E-2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-1.79</v>
      </c>
      <c r="R14" s="31"/>
    </row>
    <row r="15" spans="2:18" ht="19" x14ac:dyDescent="0.25">
      <c r="B15" s="1" t="s">
        <v>36</v>
      </c>
      <c r="C15" s="39">
        <f>C10*(1+C14)</f>
        <v>117.73194552297016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f>IF(Q15="Sell",0,1)</f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147.99</v>
      </c>
      <c r="R16" s="25"/>
    </row>
    <row r="17" spans="2:20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35.9</v>
      </c>
      <c r="R17" s="42">
        <f>IF(Q16&lt;Q17,0,1)</f>
        <v>1</v>
      </c>
    </row>
    <row r="18" spans="2:20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Alibaba Group Holdings Ltd ADR</v>
      </c>
      <c r="J18" s="34" t="s">
        <v>45</v>
      </c>
      <c r="K18" s="34" t="str">
        <f>_xlfn.CONCAT("Precio ",C6)</f>
        <v>Precio NYSE</v>
      </c>
      <c r="L18" s="34" t="s">
        <v>46</v>
      </c>
      <c r="M18" s="1"/>
      <c r="N18" s="21"/>
      <c r="O18" s="22"/>
      <c r="P18" s="23" t="s">
        <v>47</v>
      </c>
      <c r="Q18" s="137">
        <f>C14</f>
        <v>4.3075622600958353E-2</v>
      </c>
      <c r="R18" s="25"/>
    </row>
    <row r="19" spans="2:20" x14ac:dyDescent="0.2">
      <c r="B19" s="46">
        <v>45108</v>
      </c>
      <c r="C19">
        <v>92.11</v>
      </c>
      <c r="D19" s="47">
        <v>5.2699999999999997E-2</v>
      </c>
      <c r="E19" s="1"/>
      <c r="F19" s="1"/>
      <c r="G19" s="1"/>
      <c r="H19" s="1"/>
      <c r="I19" s="8">
        <f>C19</f>
        <v>92.11</v>
      </c>
      <c r="J19" s="8"/>
      <c r="K19" s="48">
        <v>16000.4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20" x14ac:dyDescent="0.2">
      <c r="B20" s="46">
        <v>45139</v>
      </c>
      <c r="C20">
        <v>86.01</v>
      </c>
      <c r="D20" s="47">
        <v>5.28E-2</v>
      </c>
      <c r="E20" s="52">
        <f>C20/C19-1</f>
        <v>-6.6225165562913801E-2</v>
      </c>
      <c r="F20" s="53">
        <f>D20/365*28</f>
        <v>4.0504109589041097E-3</v>
      </c>
      <c r="G20" s="51">
        <f>E20-F20</f>
        <v>-7.0275576521817915E-2</v>
      </c>
      <c r="H20" s="1"/>
      <c r="I20" s="8">
        <f t="shared" ref="I20:I41" si="0">C20</f>
        <v>86.01</v>
      </c>
      <c r="J20" s="52">
        <f>I20/I19-1</f>
        <v>-6.6225165562913801E-2</v>
      </c>
      <c r="K20" s="48">
        <v>15398.2</v>
      </c>
      <c r="L20" s="52">
        <f>K20/K19-1</f>
        <v>-3.7636559086022814E-2</v>
      </c>
      <c r="M20" s="1"/>
      <c r="N20" s="49"/>
      <c r="O20" s="50" t="s">
        <v>49</v>
      </c>
      <c r="P20" s="30" t="s">
        <v>26</v>
      </c>
      <c r="Q20" s="54"/>
      <c r="R20" s="31"/>
    </row>
    <row r="21" spans="2:20" x14ac:dyDescent="0.2">
      <c r="B21" s="46">
        <v>45170</v>
      </c>
      <c r="C21">
        <v>81.84</v>
      </c>
      <c r="D21" s="47">
        <v>5.2900000000000003E-2</v>
      </c>
      <c r="E21" s="52">
        <f t="shared" ref="E21:E41" si="1">C21/C20-1</f>
        <v>-4.8482734565748142E-2</v>
      </c>
      <c r="F21" s="53">
        <f t="shared" ref="F21:F41" si="2">D21/365*28</f>
        <v>4.0580821917808214E-3</v>
      </c>
      <c r="G21" s="51">
        <f t="shared" ref="G21:G41" si="3">E21-F21</f>
        <v>-5.254081675752896E-2</v>
      </c>
      <c r="H21" s="1"/>
      <c r="I21" s="8">
        <f t="shared" si="0"/>
        <v>81.84</v>
      </c>
      <c r="J21" s="52">
        <f t="shared" ref="J21:J41" si="4">I21/I20-1</f>
        <v>-4.8482734565748142E-2</v>
      </c>
      <c r="K21" s="48">
        <v>14919.2</v>
      </c>
      <c r="L21" s="52">
        <f t="shared" ref="L21:L41" si="5">K21/K20-1</f>
        <v>-3.1107532049200581E-2</v>
      </c>
      <c r="M21" s="1"/>
      <c r="N21" s="49"/>
      <c r="O21" s="50" t="s">
        <v>48</v>
      </c>
      <c r="P21" s="30" t="s">
        <v>30</v>
      </c>
      <c r="Q21" s="55"/>
      <c r="R21" s="31"/>
    </row>
    <row r="22" spans="2:20" x14ac:dyDescent="0.2">
      <c r="B22" s="46">
        <v>45200</v>
      </c>
      <c r="C22">
        <v>74.25</v>
      </c>
      <c r="D22" s="47">
        <v>5.2900000000000003E-2</v>
      </c>
      <c r="E22" s="52">
        <f t="shared" si="1"/>
        <v>-9.2741935483870996E-2</v>
      </c>
      <c r="F22" s="53">
        <f t="shared" si="2"/>
        <v>4.0580821917808214E-3</v>
      </c>
      <c r="G22" s="51">
        <f t="shared" si="3"/>
        <v>-9.6800017675651814E-2</v>
      </c>
      <c r="H22" s="1"/>
      <c r="I22" s="8">
        <f t="shared" si="0"/>
        <v>74.25</v>
      </c>
      <c r="J22" s="52">
        <f t="shared" si="4"/>
        <v>-9.2741935483870996E-2</v>
      </c>
      <c r="K22" s="48">
        <v>16088.8</v>
      </c>
      <c r="L22" s="52">
        <f t="shared" si="5"/>
        <v>7.8395624430264155E-2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20" x14ac:dyDescent="0.2">
      <c r="B23" s="46">
        <v>45231</v>
      </c>
      <c r="C23">
        <v>76.849999999999994</v>
      </c>
      <c r="D23" s="47">
        <v>5.2900000000000003E-2</v>
      </c>
      <c r="E23" s="52">
        <f t="shared" si="1"/>
        <v>3.5016835016834946E-2</v>
      </c>
      <c r="F23" s="53">
        <f t="shared" si="2"/>
        <v>4.0580821917808214E-3</v>
      </c>
      <c r="G23" s="51">
        <f t="shared" si="3"/>
        <v>3.0958752825054125E-2</v>
      </c>
      <c r="H23" s="1"/>
      <c r="I23" s="8">
        <f t="shared" si="0"/>
        <v>76.849999999999994</v>
      </c>
      <c r="J23" s="52">
        <f t="shared" si="4"/>
        <v>3.5016835016834946E-2</v>
      </c>
      <c r="K23" s="48">
        <v>16852.900000000001</v>
      </c>
      <c r="L23" s="52">
        <f t="shared" si="5"/>
        <v>4.7492665705335613E-2</v>
      </c>
      <c r="M23" s="1"/>
      <c r="N23" s="57" t="s">
        <v>51</v>
      </c>
      <c r="O23" s="58" t="s">
        <v>52</v>
      </c>
      <c r="P23" s="59" t="s">
        <v>44</v>
      </c>
      <c r="Q23" s="128">
        <v>0.21</v>
      </c>
      <c r="R23" s="61">
        <f>IF(Q23&gt;1.1,0,1)</f>
        <v>1</v>
      </c>
    </row>
    <row r="24" spans="2:20" x14ac:dyDescent="0.2">
      <c r="B24" s="46">
        <v>45261</v>
      </c>
      <c r="C24">
        <v>71.56</v>
      </c>
      <c r="D24" s="47">
        <v>5.33E-2</v>
      </c>
      <c r="E24" s="52">
        <f t="shared" si="1"/>
        <v>-6.8835393623942642E-2</v>
      </c>
      <c r="F24" s="53">
        <f t="shared" si="2"/>
        <v>4.0887671232876718E-3</v>
      </c>
      <c r="G24" s="51">
        <f t="shared" si="3"/>
        <v>-7.2924160747230321E-2</v>
      </c>
      <c r="H24" s="1"/>
      <c r="I24" s="8">
        <f t="shared" si="0"/>
        <v>71.56</v>
      </c>
      <c r="J24" s="52">
        <f t="shared" si="4"/>
        <v>-6.8835393623942642E-2</v>
      </c>
      <c r="K24" s="48">
        <v>16911.099999999999</v>
      </c>
      <c r="L24" s="52">
        <f t="shared" si="5"/>
        <v>3.4534115790159081E-3</v>
      </c>
      <c r="M24" s="1"/>
      <c r="N24" s="62"/>
      <c r="O24" s="22" t="s">
        <v>52</v>
      </c>
      <c r="P24" s="23" t="s">
        <v>53</v>
      </c>
      <c r="Q24" s="1"/>
      <c r="R24" s="25"/>
    </row>
    <row r="25" spans="2:20" x14ac:dyDescent="0.2">
      <c r="B25" s="46">
        <v>45292</v>
      </c>
      <c r="C25">
        <v>73.400000000000006</v>
      </c>
      <c r="D25" s="47">
        <v>5.2699999999999997E-2</v>
      </c>
      <c r="E25" s="52">
        <f t="shared" si="1"/>
        <v>2.5712688652878679E-2</v>
      </c>
      <c r="F25" s="53">
        <f t="shared" si="2"/>
        <v>4.0427397260273962E-3</v>
      </c>
      <c r="G25" s="51">
        <f t="shared" si="3"/>
        <v>2.1669948926851285E-2</v>
      </c>
      <c r="H25" s="1"/>
      <c r="I25" s="8">
        <f t="shared" si="0"/>
        <v>73.400000000000006</v>
      </c>
      <c r="J25" s="52">
        <f t="shared" si="4"/>
        <v>2.5712688652878679E-2</v>
      </c>
      <c r="K25" s="48">
        <v>17607.400000000001</v>
      </c>
      <c r="L25" s="52">
        <f t="shared" si="5"/>
        <v>4.1174140061853048E-2</v>
      </c>
      <c r="M25" s="1"/>
      <c r="N25" s="30"/>
      <c r="O25" s="64"/>
      <c r="P25" s="30" t="s">
        <v>23</v>
      </c>
      <c r="Q25" s="84">
        <f>Q10</f>
        <v>15.71</v>
      </c>
      <c r="R25" s="31"/>
    </row>
    <row r="26" spans="2:20" x14ac:dyDescent="0.2">
      <c r="B26" s="46">
        <v>45323</v>
      </c>
      <c r="C26">
        <v>71.75</v>
      </c>
      <c r="D26" s="47">
        <v>5.2999999999999999E-2</v>
      </c>
      <c r="E26" s="52">
        <f t="shared" si="1"/>
        <v>-2.2479564032697574E-2</v>
      </c>
      <c r="F26" s="53">
        <f t="shared" si="2"/>
        <v>4.0657534246575349E-3</v>
      </c>
      <c r="G26" s="51">
        <f t="shared" si="3"/>
        <v>-2.6545317457355111E-2</v>
      </c>
      <c r="H26" s="1"/>
      <c r="I26" s="8">
        <f t="shared" si="0"/>
        <v>71.75</v>
      </c>
      <c r="J26" s="52">
        <f t="shared" si="4"/>
        <v>-2.2479564032697574E-2</v>
      </c>
      <c r="K26" s="48">
        <v>18312.7</v>
      </c>
      <c r="L26" s="52">
        <f t="shared" si="5"/>
        <v>4.0057021479605215E-2</v>
      </c>
      <c r="M26" s="1"/>
      <c r="N26" s="49" t="s">
        <v>54</v>
      </c>
      <c r="O26" s="64"/>
      <c r="P26" s="30" t="s">
        <v>55</v>
      </c>
      <c r="Q26" s="132">
        <f>1/Q25</f>
        <v>6.3653723742838952E-2</v>
      </c>
      <c r="R26" s="31">
        <f>IF(Q26&lt;Q19,0,1)</f>
        <v>1</v>
      </c>
    </row>
    <row r="27" spans="2:20" x14ac:dyDescent="0.2">
      <c r="B27" s="46">
        <v>45352</v>
      </c>
      <c r="C27">
        <v>74.22</v>
      </c>
      <c r="D27" s="47">
        <v>5.2900000000000003E-2</v>
      </c>
      <c r="E27" s="52">
        <f t="shared" si="1"/>
        <v>3.4425087108013841E-2</v>
      </c>
      <c r="F27" s="53">
        <f t="shared" si="2"/>
        <v>4.0580821917808214E-3</v>
      </c>
      <c r="G27" s="51">
        <f t="shared" si="3"/>
        <v>3.036700491623302E-2</v>
      </c>
      <c r="H27" s="1"/>
      <c r="I27" s="8">
        <f t="shared" si="0"/>
        <v>74.22</v>
      </c>
      <c r="J27" s="52">
        <f t="shared" si="4"/>
        <v>3.4425087108013841E-2</v>
      </c>
      <c r="K27" s="48">
        <v>17603.3</v>
      </c>
      <c r="L27" s="52">
        <f t="shared" si="5"/>
        <v>-3.8738143474201014E-2</v>
      </c>
      <c r="M27" s="1"/>
      <c r="N27" s="62"/>
      <c r="O27" s="63"/>
      <c r="P27" s="23" t="s">
        <v>56</v>
      </c>
      <c r="Q27" s="63"/>
      <c r="R27" s="25"/>
    </row>
    <row r="28" spans="2:20" x14ac:dyDescent="0.2">
      <c r="B28" s="46">
        <v>45383</v>
      </c>
      <c r="C28">
        <v>77.680000000000007</v>
      </c>
      <c r="D28" s="47">
        <v>5.28E-2</v>
      </c>
      <c r="E28" s="52">
        <f t="shared" si="1"/>
        <v>4.6618162220425807E-2</v>
      </c>
      <c r="F28" s="53">
        <f t="shared" si="2"/>
        <v>4.0504109589041097E-3</v>
      </c>
      <c r="G28" s="51">
        <f t="shared" si="3"/>
        <v>4.2567751261521694E-2</v>
      </c>
      <c r="H28" s="1"/>
      <c r="I28" s="8">
        <f t="shared" si="0"/>
        <v>77.680000000000007</v>
      </c>
      <c r="J28" s="52">
        <f t="shared" si="4"/>
        <v>4.6618162220425807E-2</v>
      </c>
      <c r="K28" s="48">
        <v>18083.7</v>
      </c>
      <c r="L28" s="52">
        <f t="shared" si="5"/>
        <v>2.7290337607153381E-2</v>
      </c>
      <c r="M28" s="1"/>
      <c r="N28" s="30"/>
      <c r="O28" s="1"/>
      <c r="P28" s="30" t="s">
        <v>57</v>
      </c>
      <c r="Q28" s="51">
        <f>Q18</f>
        <v>4.3075622600958353E-2</v>
      </c>
      <c r="R28" s="31"/>
      <c r="T28" s="166"/>
    </row>
    <row r="29" spans="2:20" x14ac:dyDescent="0.2">
      <c r="B29" s="46">
        <v>45413</v>
      </c>
      <c r="C29">
        <v>72</v>
      </c>
      <c r="D29" s="47">
        <v>5.2699999999999997E-2</v>
      </c>
      <c r="E29" s="52">
        <f t="shared" si="1"/>
        <v>-7.3120494335736419E-2</v>
      </c>
      <c r="F29" s="53">
        <f t="shared" si="2"/>
        <v>4.0427397260273962E-3</v>
      </c>
      <c r="G29" s="51">
        <f t="shared" si="3"/>
        <v>-7.7163234061763813E-2</v>
      </c>
      <c r="H29" s="1"/>
      <c r="I29" s="8">
        <f t="shared" si="0"/>
        <v>72</v>
      </c>
      <c r="J29" s="52">
        <f t="shared" si="4"/>
        <v>-7.3120494335736419E-2</v>
      </c>
      <c r="K29" s="48">
        <v>18026.5</v>
      </c>
      <c r="L29" s="52">
        <f t="shared" si="5"/>
        <v>-3.1630695045815616E-3</v>
      </c>
      <c r="M29" s="1"/>
      <c r="N29" s="49" t="s">
        <v>117</v>
      </c>
      <c r="O29" s="1"/>
      <c r="P29" s="30" t="s">
        <v>58</v>
      </c>
      <c r="Q29" s="67">
        <v>-0.14269999999999999</v>
      </c>
      <c r="R29" s="31"/>
      <c r="T29" s="166"/>
    </row>
    <row r="30" spans="2:20" ht="17" thickBot="1" x14ac:dyDescent="0.25">
      <c r="B30" s="46">
        <v>45444</v>
      </c>
      <c r="C30">
        <v>78.849999999999994</v>
      </c>
      <c r="D30" s="47">
        <v>5.2699999999999997E-2</v>
      </c>
      <c r="E30" s="52">
        <f t="shared" si="1"/>
        <v>9.5138888888888884E-2</v>
      </c>
      <c r="F30" s="53">
        <f t="shared" si="2"/>
        <v>4.0427397260273962E-3</v>
      </c>
      <c r="G30" s="51">
        <f t="shared" si="3"/>
        <v>9.1096149162861489E-2</v>
      </c>
      <c r="I30" s="8">
        <f t="shared" si="0"/>
        <v>78.849999999999994</v>
      </c>
      <c r="J30" s="52">
        <f t="shared" si="4"/>
        <v>9.5138888888888884E-2</v>
      </c>
      <c r="K30" s="48">
        <v>18710</v>
      </c>
      <c r="L30" s="52">
        <f t="shared" si="5"/>
        <v>3.7916400854297816E-2</v>
      </c>
      <c r="M30" s="1"/>
      <c r="N30" s="1"/>
      <c r="O30" s="1"/>
      <c r="P30" s="33"/>
      <c r="Q30" s="68">
        <f>Q28-Q29</f>
        <v>0.18577562260095834</v>
      </c>
      <c r="R30" s="31">
        <f>IF(Q28&lt;Q29,0,1)</f>
        <v>1</v>
      </c>
      <c r="T30" s="166"/>
    </row>
    <row r="31" spans="2:20" ht="17" thickBot="1" x14ac:dyDescent="0.25">
      <c r="B31" s="46">
        <v>45474</v>
      </c>
      <c r="C31">
        <v>83.84</v>
      </c>
      <c r="D31" s="47">
        <v>5.28E-2</v>
      </c>
      <c r="E31" s="52">
        <f t="shared" si="1"/>
        <v>6.3284717818643088E-2</v>
      </c>
      <c r="F31" s="53">
        <f t="shared" si="2"/>
        <v>4.0504109589041097E-3</v>
      </c>
      <c r="G31" s="51">
        <f t="shared" si="3"/>
        <v>5.9234306859738975E-2</v>
      </c>
      <c r="H31" s="1"/>
      <c r="I31" s="8">
        <f t="shared" si="0"/>
        <v>83.84</v>
      </c>
      <c r="J31" s="52">
        <f t="shared" si="4"/>
        <v>6.3284717818643088E-2</v>
      </c>
      <c r="K31" s="48">
        <v>19292.2</v>
      </c>
      <c r="L31" s="52">
        <f t="shared" si="5"/>
        <v>3.1117049706039568E-2</v>
      </c>
      <c r="M31" s="1"/>
      <c r="N31" s="1"/>
      <c r="O31" s="1"/>
      <c r="P31" s="30"/>
      <c r="Q31" s="69"/>
      <c r="R31" s="133">
        <f>SUM(R10:R30)/8</f>
        <v>0.625</v>
      </c>
    </row>
    <row r="32" spans="2:20" x14ac:dyDescent="0.2">
      <c r="B32" s="46">
        <v>45505</v>
      </c>
      <c r="C32">
        <v>106.12</v>
      </c>
      <c r="D32" s="47">
        <v>5.1799999999999999E-2</v>
      </c>
      <c r="E32" s="52">
        <f t="shared" si="1"/>
        <v>0.2657442748091603</v>
      </c>
      <c r="F32" s="53">
        <f t="shared" si="2"/>
        <v>3.9736986301369863E-3</v>
      </c>
      <c r="G32" s="51">
        <f t="shared" si="3"/>
        <v>0.26177057617902333</v>
      </c>
      <c r="H32" s="1"/>
      <c r="I32" s="8">
        <f t="shared" si="0"/>
        <v>106.12</v>
      </c>
      <c r="J32" s="52">
        <f t="shared" si="4"/>
        <v>0.2657442748091603</v>
      </c>
      <c r="K32" s="48">
        <v>19516.400000000001</v>
      </c>
      <c r="L32" s="52">
        <f t="shared" si="5"/>
        <v>1.1621276992774376E-2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97.98</v>
      </c>
      <c r="D33" s="47">
        <v>4.7399999999999998E-2</v>
      </c>
      <c r="E33" s="52">
        <f t="shared" si="1"/>
        <v>-7.6705616283452738E-2</v>
      </c>
      <c r="F33" s="53">
        <f t="shared" si="2"/>
        <v>3.6361643835616433E-3</v>
      </c>
      <c r="G33" s="51">
        <f t="shared" si="3"/>
        <v>-8.0341780667014376E-2</v>
      </c>
      <c r="H33" s="1"/>
      <c r="I33" s="8">
        <f t="shared" si="0"/>
        <v>97.98</v>
      </c>
      <c r="J33" s="52">
        <f t="shared" si="4"/>
        <v>-7.6705616283452738E-2</v>
      </c>
      <c r="K33" s="48">
        <v>19239</v>
      </c>
      <c r="L33" s="52">
        <f t="shared" si="5"/>
        <v>-1.4213686950462212E-2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87.37</v>
      </c>
      <c r="D34" s="47">
        <v>4.58E-2</v>
      </c>
      <c r="E34" s="52">
        <f t="shared" si="1"/>
        <v>-0.10828740559297811</v>
      </c>
      <c r="F34" s="53">
        <f t="shared" si="2"/>
        <v>3.5134246575342465E-3</v>
      </c>
      <c r="G34" s="51">
        <f t="shared" si="3"/>
        <v>-0.11180083025051236</v>
      </c>
      <c r="H34" s="1"/>
      <c r="I34" s="8">
        <f t="shared" si="0"/>
        <v>87.37</v>
      </c>
      <c r="J34" s="52">
        <f t="shared" si="4"/>
        <v>-0.10828740559297811</v>
      </c>
      <c r="K34" s="48">
        <v>20272</v>
      </c>
      <c r="L34" s="52">
        <f t="shared" si="5"/>
        <v>5.3693019387702101E-2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84.79</v>
      </c>
      <c r="D35" s="47">
        <v>4.5499999999999999E-2</v>
      </c>
      <c r="E35" s="52">
        <f t="shared" si="1"/>
        <v>-2.9529586814696085E-2</v>
      </c>
      <c r="F35" s="53">
        <f t="shared" si="2"/>
        <v>3.4904109589041091E-3</v>
      </c>
      <c r="G35" s="51">
        <f t="shared" si="3"/>
        <v>-3.3019997773600193E-2</v>
      </c>
      <c r="H35" s="1"/>
      <c r="I35" s="8">
        <f t="shared" si="0"/>
        <v>84.79</v>
      </c>
      <c r="J35" s="52">
        <f t="shared" si="4"/>
        <v>-2.9529586814696085E-2</v>
      </c>
      <c r="K35" s="48">
        <v>19097.099999999999</v>
      </c>
      <c r="L35" s="52">
        <f t="shared" si="5"/>
        <v>-5.7956787687450717E-2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98.84</v>
      </c>
      <c r="D36" s="47">
        <v>4.2200000000000001E-2</v>
      </c>
      <c r="E36" s="52">
        <f t="shared" si="1"/>
        <v>0.16570350277155321</v>
      </c>
      <c r="F36" s="53">
        <f t="shared" si="2"/>
        <v>3.2372602739726029E-3</v>
      </c>
      <c r="G36" s="51">
        <f t="shared" si="3"/>
        <v>0.1624662424975806</v>
      </c>
      <c r="H36" s="1"/>
      <c r="I36" s="8">
        <f t="shared" si="0"/>
        <v>98.84</v>
      </c>
      <c r="J36" s="52">
        <f t="shared" si="4"/>
        <v>0.16570350277155321</v>
      </c>
      <c r="K36" s="48">
        <v>19998.8</v>
      </c>
      <c r="L36" s="52">
        <f t="shared" si="5"/>
        <v>4.7216593095286807E-2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132.51</v>
      </c>
      <c r="D37" s="47">
        <v>4.2599999999999999E-2</v>
      </c>
      <c r="E37" s="52">
        <f t="shared" si="1"/>
        <v>0.34065155807365421</v>
      </c>
      <c r="F37" s="53">
        <f t="shared" si="2"/>
        <v>3.267945205479452E-3</v>
      </c>
      <c r="G37" s="51">
        <f t="shared" si="3"/>
        <v>0.33738361286817475</v>
      </c>
      <c r="H37" s="1"/>
      <c r="I37" s="8">
        <f t="shared" si="0"/>
        <v>132.51</v>
      </c>
      <c r="J37" s="52">
        <f t="shared" si="4"/>
        <v>0.34065155807365421</v>
      </c>
      <c r="K37" s="48">
        <v>20028.2</v>
      </c>
      <c r="L37" s="52">
        <f t="shared" si="5"/>
        <v>1.4700882052924857E-3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132.22999999999999</v>
      </c>
      <c r="D38" s="47">
        <v>4.24E-2</v>
      </c>
      <c r="E38" s="52">
        <f t="shared" si="1"/>
        <v>-2.1130480718436484E-3</v>
      </c>
      <c r="F38" s="53">
        <f t="shared" si="2"/>
        <v>3.2526027397260277E-3</v>
      </c>
      <c r="G38" s="51">
        <f t="shared" si="3"/>
        <v>-5.3656508115696756E-3</v>
      </c>
      <c r="H38" s="1"/>
      <c r="I38" s="8">
        <f t="shared" si="0"/>
        <v>132.22999999999999</v>
      </c>
      <c r="J38" s="52">
        <f t="shared" si="4"/>
        <v>-2.1130480718436484E-3</v>
      </c>
      <c r="K38" s="48">
        <v>19395.900000000001</v>
      </c>
      <c r="L38" s="52">
        <f t="shared" si="5"/>
        <v>-3.1570485615282418E-2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119.43</v>
      </c>
      <c r="D39" s="47">
        <v>4.24E-2</v>
      </c>
      <c r="E39" s="52">
        <f t="shared" si="1"/>
        <v>-9.6801028510927756E-2</v>
      </c>
      <c r="F39" s="53">
        <f t="shared" si="2"/>
        <v>3.2526027397260277E-3</v>
      </c>
      <c r="G39" s="51">
        <f t="shared" si="3"/>
        <v>-0.10005363125065378</v>
      </c>
      <c r="H39" s="1"/>
      <c r="I39" s="8">
        <f t="shared" si="0"/>
        <v>119.43</v>
      </c>
      <c r="J39" s="52">
        <f t="shared" si="4"/>
        <v>-9.6801028510927756E-2</v>
      </c>
      <c r="K39" s="48">
        <v>19114.2</v>
      </c>
      <c r="L39" s="52">
        <f t="shared" si="5"/>
        <v>-1.4523687995916745E-2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113.84</v>
      </c>
      <c r="D40" s="47">
        <v>4.2299999999999997E-2</v>
      </c>
      <c r="E40" s="52">
        <f t="shared" si="1"/>
        <v>-4.6805660219375378E-2</v>
      </c>
      <c r="F40" s="53">
        <f t="shared" si="2"/>
        <v>3.2449315068493151E-3</v>
      </c>
      <c r="G40" s="51">
        <f t="shared" si="3"/>
        <v>-5.005059172622469E-2</v>
      </c>
      <c r="H40" s="1"/>
      <c r="I40" s="8">
        <f t="shared" si="0"/>
        <v>113.84</v>
      </c>
      <c r="J40" s="52">
        <f t="shared" si="4"/>
        <v>-4.6805660219375378E-2</v>
      </c>
      <c r="K40" s="48">
        <v>19783.8</v>
      </c>
      <c r="L40" s="52">
        <f t="shared" si="5"/>
        <v>3.5031547226669124E-2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112.87</v>
      </c>
      <c r="D41" s="47">
        <v>4.2200000000000001E-2</v>
      </c>
      <c r="E41" s="52">
        <f t="shared" si="1"/>
        <v>-8.5207308503162382E-3</v>
      </c>
      <c r="F41" s="53">
        <f t="shared" si="2"/>
        <v>3.2372602739726029E-3</v>
      </c>
      <c r="G41" s="51">
        <f t="shared" si="3"/>
        <v>-1.1757991124288842E-2</v>
      </c>
      <c r="H41" s="1"/>
      <c r="I41" s="8">
        <f t="shared" si="0"/>
        <v>112.87</v>
      </c>
      <c r="J41" s="52">
        <f t="shared" si="4"/>
        <v>-8.5207308503162382E-3</v>
      </c>
      <c r="K41" s="48">
        <v>19981.099999999999</v>
      </c>
      <c r="L41" s="52">
        <f t="shared" si="5"/>
        <v>9.9728060332191504E-3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1.1312488575992151E-2</v>
      </c>
      <c r="H43" s="1"/>
      <c r="I43" s="1"/>
      <c r="J43" s="1"/>
      <c r="K43" s="48" t="s">
        <v>65</v>
      </c>
      <c r="L43" s="82">
        <f>COVAR(J20:J41,L20:L41)</f>
        <v>3.9254414663181909E-4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1.3119365558916414E-3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0.29920970253400048</v>
      </c>
    </row>
  </sheetData>
  <mergeCells count="1">
    <mergeCell ref="B4:D4"/>
  </mergeCells>
  <conditionalFormatting sqref="S10">
    <cfRule type="expression" dxfId="493" priority="19">
      <formula>IF($Q$10&gt;$Q$11,1,0)</formula>
    </cfRule>
  </conditionalFormatting>
  <conditionalFormatting sqref="Q10">
    <cfRule type="expression" dxfId="492" priority="10">
      <formula>IF($Q$10&lt;$Q$11,1,0)</formula>
    </cfRule>
    <cfRule type="expression" dxfId="491" priority="18">
      <formula>IF($Q$10&gt;$Q$11,1,0)</formula>
    </cfRule>
  </conditionalFormatting>
  <conditionalFormatting sqref="Q12">
    <cfRule type="expression" dxfId="490" priority="9">
      <formula>IF($Q$12&gt;$Q$13,1,0)</formula>
    </cfRule>
    <cfRule type="expression" dxfId="489" priority="17">
      <formula>IF($Q$12&lt;$Q$13,1,0)</formula>
    </cfRule>
  </conditionalFormatting>
  <conditionalFormatting sqref="Q14">
    <cfRule type="expression" dxfId="488" priority="16">
      <formula>IF($Q$15="Sell",1,0)</formula>
    </cfRule>
  </conditionalFormatting>
  <conditionalFormatting sqref="Q14:Q15">
    <cfRule type="expression" dxfId="487" priority="15">
      <formula>IF($Q$15="Buy",1,0)</formula>
    </cfRule>
  </conditionalFormatting>
  <conditionalFormatting sqref="Q16">
    <cfRule type="expression" dxfId="486" priority="13">
      <formula>IF($Q$16&lt;$Q$17,1,0)</formula>
    </cfRule>
    <cfRule type="expression" dxfId="485" priority="14">
      <formula>IF($Q$16&gt;$Q$17,1,0)</formula>
    </cfRule>
  </conditionalFormatting>
  <conditionalFormatting sqref="Q18">
    <cfRule type="expression" dxfId="484" priority="11">
      <formula>IF($Q$18&lt;$Q$19,1,0)</formula>
    </cfRule>
    <cfRule type="expression" dxfId="483" priority="12">
      <formula>IF($Q$18&gt;$Q$19,1,0)</formula>
    </cfRule>
  </conditionalFormatting>
  <conditionalFormatting sqref="Q23">
    <cfRule type="expression" dxfId="482" priority="7">
      <formula>IF($Q$23&lt;1.1,1,0)</formula>
    </cfRule>
    <cfRule type="expression" dxfId="481" priority="8">
      <formula>IF($Q$23&gt;1.1,1,0)</formula>
    </cfRule>
  </conditionalFormatting>
  <conditionalFormatting sqref="Q26">
    <cfRule type="expression" dxfId="480" priority="5">
      <formula>IF($Q$26&lt;$Q$19,1,0)</formula>
    </cfRule>
    <cfRule type="expression" dxfId="479" priority="6">
      <formula>IF($Q$26&gt;$Q$19,1,0)</formula>
    </cfRule>
  </conditionalFormatting>
  <conditionalFormatting sqref="Q30">
    <cfRule type="expression" dxfId="478" priority="3">
      <formula>IF($Q$28&lt;$Q$29,1,0)</formula>
    </cfRule>
    <cfRule type="expression" dxfId="477" priority="4">
      <formula>IF($Q$28&gt;$Q$29,1,0)</formula>
    </cfRule>
  </conditionalFormatting>
  <conditionalFormatting sqref="R31">
    <cfRule type="expression" dxfId="476" priority="1">
      <formula>IF($R$31&lt;0.485,1,0)</formula>
    </cfRule>
    <cfRule type="expression" dxfId="475" priority="2">
      <formula>IF($R$31&gt;0.49,1,0)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54729-919A-4499-97D5-BC326C004F6D}">
  <sheetPr codeName="Sheet34"/>
  <dimension ref="B2:R45"/>
  <sheetViews>
    <sheetView zoomScale="85" zoomScaleNormal="85" workbookViewId="0">
      <selection activeCell="C3" sqref="C3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211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212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GMS</v>
      </c>
      <c r="R5" s="8"/>
    </row>
    <row r="6" spans="2:18" x14ac:dyDescent="0.2">
      <c r="B6" s="1" t="s">
        <v>4</v>
      </c>
      <c r="C6" s="1" t="s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NYSE</v>
      </c>
      <c r="R6" s="8"/>
    </row>
    <row r="7" spans="2:18" x14ac:dyDescent="0.2">
      <c r="B7" s="1" t="s">
        <v>7</v>
      </c>
      <c r="C7" s="13">
        <v>45823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76.03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20.239999999999998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17.07</v>
      </c>
      <c r="R11" s="31">
        <f>IF(Q10&gt;Q11,0,1)</f>
        <v>0</v>
      </c>
    </row>
    <row r="12" spans="2:18" x14ac:dyDescent="0.2">
      <c r="B12" s="1" t="s">
        <v>26</v>
      </c>
      <c r="C12" s="32">
        <f>Q23</f>
        <v>1.62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-0.52</v>
      </c>
      <c r="R12" s="25"/>
    </row>
    <row r="13" spans="2:18" x14ac:dyDescent="0.2">
      <c r="B13" s="1" t="s">
        <v>30</v>
      </c>
      <c r="C13" s="26">
        <f>G43</f>
        <v>5.2222857851831382E-3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1.61</v>
      </c>
      <c r="R13" s="35">
        <f>IF(Q12&lt;Q13,0,1)</f>
        <v>0</v>
      </c>
    </row>
    <row r="14" spans="2:18" x14ac:dyDescent="0.2">
      <c r="B14" s="1" t="s">
        <v>32</v>
      </c>
      <c r="C14" s="36">
        <f>C11+(C12*C13)</f>
        <v>4.9160102971996689E-2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1.84</v>
      </c>
      <c r="R14" s="31"/>
    </row>
    <row r="15" spans="2:18" ht="19" x14ac:dyDescent="0.25">
      <c r="B15" s="1" t="s">
        <v>36</v>
      </c>
      <c r="C15" s="39">
        <f>C10*(1+C14)</f>
        <v>79.767642628960914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f>IF(Q15="Sell",0,1)</f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10.36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24.41</v>
      </c>
      <c r="R17" s="42">
        <f>IF(Q16&lt;Q17,0,1)</f>
        <v>0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GMS Inc</v>
      </c>
      <c r="J18" s="34" t="s">
        <v>45</v>
      </c>
      <c r="K18" s="34" t="str">
        <f>_xlfn.CONCAT("Precio ",C6)</f>
        <v>Precio NYSE</v>
      </c>
      <c r="L18" s="34" t="s">
        <v>46</v>
      </c>
      <c r="M18" s="1"/>
      <c r="N18" s="21"/>
      <c r="O18" s="22"/>
      <c r="P18" s="23" t="s">
        <v>47</v>
      </c>
      <c r="Q18" s="137">
        <f>C14</f>
        <v>4.9160102971996689E-2</v>
      </c>
      <c r="R18" s="25"/>
    </row>
    <row r="19" spans="2:18" x14ac:dyDescent="0.2">
      <c r="B19" s="46">
        <v>45108</v>
      </c>
      <c r="C19">
        <v>69.34</v>
      </c>
      <c r="D19" s="47">
        <v>5.2699999999999997E-2</v>
      </c>
      <c r="E19" s="1"/>
      <c r="F19" s="1"/>
      <c r="G19" s="1"/>
      <c r="H19" s="1"/>
      <c r="I19" s="8">
        <f>C19</f>
        <v>69.34</v>
      </c>
      <c r="J19" s="8"/>
      <c r="K19" s="48">
        <v>16000.4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63.97</v>
      </c>
      <c r="D20" s="47">
        <v>5.28E-2</v>
      </c>
      <c r="E20" s="52">
        <f>C20/C19-1</f>
        <v>-7.7444476492644965E-2</v>
      </c>
      <c r="F20" s="53">
        <f>D20/365*28</f>
        <v>4.0504109589041097E-3</v>
      </c>
      <c r="G20" s="51">
        <f>E20-F20</f>
        <v>-8.1494887451549078E-2</v>
      </c>
      <c r="H20" s="1"/>
      <c r="I20" s="8">
        <f t="shared" ref="I20:I41" si="0">C20</f>
        <v>63.97</v>
      </c>
      <c r="J20" s="52">
        <f>I20/I19-1</f>
        <v>-7.7444476492644965E-2</v>
      </c>
      <c r="K20" s="48">
        <v>15398.2</v>
      </c>
      <c r="L20" s="52">
        <f>K20/K19-1</f>
        <v>-3.7636559086022814E-2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58.48</v>
      </c>
      <c r="D21" s="47">
        <v>5.2900000000000003E-2</v>
      </c>
      <c r="E21" s="52">
        <f t="shared" ref="E21:E41" si="1">C21/C20-1</f>
        <v>-8.5821478818196018E-2</v>
      </c>
      <c r="F21" s="53">
        <f t="shared" ref="F21:F41" si="2">D21/365*28</f>
        <v>4.0580821917808214E-3</v>
      </c>
      <c r="G21" s="51">
        <f t="shared" ref="G21:G41" si="3">E21-F21</f>
        <v>-8.9879561009976836E-2</v>
      </c>
      <c r="H21" s="1"/>
      <c r="I21" s="8">
        <f t="shared" si="0"/>
        <v>58.48</v>
      </c>
      <c r="J21" s="52">
        <f t="shared" ref="J21:J41" si="4">I21/I20-1</f>
        <v>-8.5821478818196018E-2</v>
      </c>
      <c r="K21" s="48">
        <v>14919.2</v>
      </c>
      <c r="L21" s="52">
        <f t="shared" ref="L21:L41" si="5">K21/K20-1</f>
        <v>-3.1107532049200581E-2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67.64</v>
      </c>
      <c r="D22" s="47">
        <v>5.2900000000000003E-2</v>
      </c>
      <c r="E22" s="52">
        <f t="shared" si="1"/>
        <v>0.15663474692202461</v>
      </c>
      <c r="F22" s="53">
        <f t="shared" si="2"/>
        <v>4.0580821917808214E-3</v>
      </c>
      <c r="G22" s="51">
        <f t="shared" si="3"/>
        <v>0.15257666473024378</v>
      </c>
      <c r="H22" s="1"/>
      <c r="I22" s="8">
        <f t="shared" si="0"/>
        <v>67.64</v>
      </c>
      <c r="J22" s="52">
        <f t="shared" si="4"/>
        <v>0.15663474692202461</v>
      </c>
      <c r="K22" s="48">
        <v>16088.8</v>
      </c>
      <c r="L22" s="52">
        <f t="shared" si="5"/>
        <v>7.8395624430264155E-2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C23">
        <v>82.43</v>
      </c>
      <c r="D23" s="47">
        <v>5.2900000000000003E-2</v>
      </c>
      <c r="E23" s="52">
        <f t="shared" si="1"/>
        <v>0.21865759905381443</v>
      </c>
      <c r="F23" s="53">
        <f t="shared" si="2"/>
        <v>4.0580821917808214E-3</v>
      </c>
      <c r="G23" s="51">
        <f t="shared" si="3"/>
        <v>0.2145995168620336</v>
      </c>
      <c r="H23" s="1"/>
      <c r="I23" s="8">
        <f t="shared" si="0"/>
        <v>82.43</v>
      </c>
      <c r="J23" s="52">
        <f t="shared" si="4"/>
        <v>0.21865759905381443</v>
      </c>
      <c r="K23" s="48">
        <v>16852.900000000001</v>
      </c>
      <c r="L23" s="52">
        <f t="shared" si="5"/>
        <v>4.7492665705335613E-2</v>
      </c>
      <c r="M23" s="1"/>
      <c r="N23" s="57" t="s">
        <v>51</v>
      </c>
      <c r="O23" s="58" t="s">
        <v>52</v>
      </c>
      <c r="P23" s="59" t="s">
        <v>44</v>
      </c>
      <c r="Q23" s="128">
        <v>1.62</v>
      </c>
      <c r="R23" s="61">
        <f>IF(Q23&gt;1.1,0,1)</f>
        <v>0</v>
      </c>
    </row>
    <row r="24" spans="2:18" x14ac:dyDescent="0.2">
      <c r="B24" s="46">
        <v>45261</v>
      </c>
      <c r="C24">
        <v>84.16</v>
      </c>
      <c r="D24" s="47">
        <v>5.33E-2</v>
      </c>
      <c r="E24" s="52">
        <f t="shared" si="1"/>
        <v>2.0987504549314417E-2</v>
      </c>
      <c r="F24" s="53">
        <f t="shared" si="2"/>
        <v>4.0887671232876718E-3</v>
      </c>
      <c r="G24" s="51">
        <f t="shared" si="3"/>
        <v>1.6898737426026746E-2</v>
      </c>
      <c r="H24" s="1"/>
      <c r="I24" s="8">
        <f t="shared" si="0"/>
        <v>84.16</v>
      </c>
      <c r="J24" s="52">
        <f t="shared" si="4"/>
        <v>2.0987504549314417E-2</v>
      </c>
      <c r="K24" s="48">
        <v>16911.099999999999</v>
      </c>
      <c r="L24" s="52">
        <f t="shared" si="5"/>
        <v>3.4534115790159081E-3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89.31</v>
      </c>
      <c r="D25" s="47">
        <v>5.2699999999999997E-2</v>
      </c>
      <c r="E25" s="52">
        <f t="shared" si="1"/>
        <v>6.1192965779467645E-2</v>
      </c>
      <c r="F25" s="53">
        <f t="shared" si="2"/>
        <v>4.0427397260273962E-3</v>
      </c>
      <c r="G25" s="51">
        <f t="shared" si="3"/>
        <v>5.7150226053440251E-2</v>
      </c>
      <c r="H25" s="1"/>
      <c r="I25" s="8">
        <f t="shared" si="0"/>
        <v>89.31</v>
      </c>
      <c r="J25" s="52">
        <f t="shared" si="4"/>
        <v>6.1192965779467645E-2</v>
      </c>
      <c r="K25" s="48">
        <v>17607.400000000001</v>
      </c>
      <c r="L25" s="52">
        <f t="shared" si="5"/>
        <v>4.1174140061853048E-2</v>
      </c>
      <c r="M25" s="1"/>
      <c r="N25" s="30"/>
      <c r="O25" s="64"/>
      <c r="P25" s="30" t="s">
        <v>23</v>
      </c>
      <c r="Q25" s="84">
        <f>Q10</f>
        <v>20.239999999999998</v>
      </c>
      <c r="R25" s="31"/>
    </row>
    <row r="26" spans="2:18" x14ac:dyDescent="0.2">
      <c r="B26" s="46">
        <v>45323</v>
      </c>
      <c r="C26">
        <v>97.34</v>
      </c>
      <c r="D26" s="47">
        <v>5.2999999999999999E-2</v>
      </c>
      <c r="E26" s="52">
        <f t="shared" si="1"/>
        <v>8.991154406001578E-2</v>
      </c>
      <c r="F26" s="53">
        <f t="shared" si="2"/>
        <v>4.0657534246575349E-3</v>
      </c>
      <c r="G26" s="51">
        <f t="shared" si="3"/>
        <v>8.5845790635358243E-2</v>
      </c>
      <c r="H26" s="1"/>
      <c r="I26" s="8">
        <f t="shared" si="0"/>
        <v>97.34</v>
      </c>
      <c r="J26" s="52">
        <f t="shared" si="4"/>
        <v>8.991154406001578E-2</v>
      </c>
      <c r="K26" s="48">
        <v>18312.7</v>
      </c>
      <c r="L26" s="52">
        <f t="shared" si="5"/>
        <v>4.0057021479605215E-2</v>
      </c>
      <c r="M26" s="1"/>
      <c r="N26" s="49" t="s">
        <v>54</v>
      </c>
      <c r="O26" s="64"/>
      <c r="P26" s="30" t="s">
        <v>55</v>
      </c>
      <c r="Q26" s="132">
        <f>1/Q25</f>
        <v>4.9407114624505935E-2</v>
      </c>
      <c r="R26" s="31">
        <f>IF(Q26&lt;Q19,0,1)</f>
        <v>1</v>
      </c>
    </row>
    <row r="27" spans="2:18" x14ac:dyDescent="0.2">
      <c r="B27" s="46">
        <v>45352</v>
      </c>
      <c r="C27">
        <v>92.52</v>
      </c>
      <c r="D27" s="47">
        <v>5.2900000000000003E-2</v>
      </c>
      <c r="E27" s="52">
        <f t="shared" si="1"/>
        <v>-4.9517156359153547E-2</v>
      </c>
      <c r="F27" s="53">
        <f t="shared" si="2"/>
        <v>4.0580821917808214E-3</v>
      </c>
      <c r="G27" s="51">
        <f t="shared" si="3"/>
        <v>-5.3575238550934365E-2</v>
      </c>
      <c r="H27" s="1"/>
      <c r="I27" s="8">
        <f t="shared" si="0"/>
        <v>92.52</v>
      </c>
      <c r="J27" s="52">
        <f t="shared" si="4"/>
        <v>-4.9517156359153547E-2</v>
      </c>
      <c r="K27" s="48">
        <v>17603.3</v>
      </c>
      <c r="L27" s="52">
        <f t="shared" si="5"/>
        <v>-3.8738143474201014E-2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93.96</v>
      </c>
      <c r="D28" s="47">
        <v>5.28E-2</v>
      </c>
      <c r="E28" s="52">
        <f t="shared" si="1"/>
        <v>1.5564202334630295E-2</v>
      </c>
      <c r="F28" s="53">
        <f t="shared" si="2"/>
        <v>4.0504109589041097E-3</v>
      </c>
      <c r="G28" s="51">
        <f t="shared" si="3"/>
        <v>1.1513791375726185E-2</v>
      </c>
      <c r="H28" s="1"/>
      <c r="I28" s="8">
        <f t="shared" si="0"/>
        <v>93.96</v>
      </c>
      <c r="J28" s="52">
        <f t="shared" si="4"/>
        <v>1.5564202334630295E-2</v>
      </c>
      <c r="K28" s="48">
        <v>18083.7</v>
      </c>
      <c r="L28" s="52">
        <f t="shared" si="5"/>
        <v>2.7290337607153381E-2</v>
      </c>
      <c r="M28" s="1"/>
      <c r="N28" s="30"/>
      <c r="O28" s="1"/>
      <c r="P28" s="30" t="s">
        <v>57</v>
      </c>
      <c r="Q28" s="51">
        <f>Q18</f>
        <v>4.9160102971996689E-2</v>
      </c>
      <c r="R28" s="31"/>
    </row>
    <row r="29" spans="2:18" x14ac:dyDescent="0.2">
      <c r="B29" s="46">
        <v>45413</v>
      </c>
      <c r="C29">
        <v>80.61</v>
      </c>
      <c r="D29" s="47">
        <v>5.2699999999999997E-2</v>
      </c>
      <c r="E29" s="52">
        <f t="shared" si="1"/>
        <v>-0.14208173690932302</v>
      </c>
      <c r="F29" s="53">
        <f t="shared" si="2"/>
        <v>4.0427397260273962E-3</v>
      </c>
      <c r="G29" s="51">
        <f t="shared" si="3"/>
        <v>-0.14612447663535041</v>
      </c>
      <c r="H29" s="1"/>
      <c r="I29" s="8">
        <f t="shared" si="0"/>
        <v>80.61</v>
      </c>
      <c r="J29" s="52">
        <f t="shared" si="4"/>
        <v>-0.14208173690932302</v>
      </c>
      <c r="K29" s="48">
        <v>18026.5</v>
      </c>
      <c r="L29" s="52">
        <f t="shared" si="5"/>
        <v>-3.1630695045815616E-3</v>
      </c>
      <c r="M29" s="1"/>
      <c r="N29" s="49" t="s">
        <v>117</v>
      </c>
      <c r="O29" s="1"/>
      <c r="P29" s="30" t="s">
        <v>58</v>
      </c>
      <c r="Q29" s="67">
        <v>-1.83E-2</v>
      </c>
      <c r="R29" s="31"/>
    </row>
    <row r="30" spans="2:18" ht="17" thickBot="1" x14ac:dyDescent="0.25">
      <c r="B30" s="46">
        <v>45444</v>
      </c>
      <c r="C30">
        <v>96.23</v>
      </c>
      <c r="D30" s="47">
        <v>5.2699999999999997E-2</v>
      </c>
      <c r="E30" s="52">
        <f t="shared" si="1"/>
        <v>0.19377248480337439</v>
      </c>
      <c r="F30" s="53">
        <f t="shared" si="2"/>
        <v>4.0427397260273962E-3</v>
      </c>
      <c r="G30" s="51">
        <f t="shared" si="3"/>
        <v>0.189729745077347</v>
      </c>
      <c r="I30" s="8">
        <f t="shared" si="0"/>
        <v>96.23</v>
      </c>
      <c r="J30" s="52">
        <f t="shared" si="4"/>
        <v>0.19377248480337439</v>
      </c>
      <c r="K30" s="48">
        <v>18710</v>
      </c>
      <c r="L30" s="52">
        <f t="shared" si="5"/>
        <v>3.7916400854297816E-2</v>
      </c>
      <c r="M30" s="1"/>
      <c r="N30" s="1"/>
      <c r="O30" s="1"/>
      <c r="P30" s="33"/>
      <c r="Q30" s="68">
        <f>Q28-Q29</f>
        <v>6.7460102971996685E-2</v>
      </c>
      <c r="R30" s="31">
        <f>IF(Q28&lt;Q29,0,1)</f>
        <v>1</v>
      </c>
    </row>
    <row r="31" spans="2:18" ht="17" thickBot="1" x14ac:dyDescent="0.25">
      <c r="B31" s="46">
        <v>45474</v>
      </c>
      <c r="C31">
        <v>86.79</v>
      </c>
      <c r="D31" s="47">
        <v>5.28E-2</v>
      </c>
      <c r="E31" s="52">
        <f t="shared" si="1"/>
        <v>-9.8098306141535918E-2</v>
      </c>
      <c r="F31" s="53">
        <f t="shared" si="2"/>
        <v>4.0504109589041097E-3</v>
      </c>
      <c r="G31" s="51">
        <f t="shared" si="3"/>
        <v>-0.10214871710044003</v>
      </c>
      <c r="H31" s="1"/>
      <c r="I31" s="8">
        <f t="shared" si="0"/>
        <v>86.79</v>
      </c>
      <c r="J31" s="52">
        <f t="shared" si="4"/>
        <v>-9.8098306141535918E-2</v>
      </c>
      <c r="K31" s="48">
        <v>19292.2</v>
      </c>
      <c r="L31" s="52">
        <f t="shared" si="5"/>
        <v>3.1117049706039568E-2</v>
      </c>
      <c r="M31" s="1"/>
      <c r="N31" s="1"/>
      <c r="O31" s="1"/>
      <c r="P31" s="30"/>
      <c r="Q31" s="69"/>
      <c r="R31" s="133">
        <f>SUM(R10:R30)/8</f>
        <v>0.375</v>
      </c>
    </row>
    <row r="32" spans="2:18" x14ac:dyDescent="0.2">
      <c r="B32" s="46">
        <v>45505</v>
      </c>
      <c r="C32">
        <v>90.57</v>
      </c>
      <c r="D32" s="47">
        <v>5.1799999999999999E-2</v>
      </c>
      <c r="E32" s="52">
        <f t="shared" si="1"/>
        <v>4.3553404770134696E-2</v>
      </c>
      <c r="F32" s="53">
        <f t="shared" si="2"/>
        <v>3.9736986301369863E-3</v>
      </c>
      <c r="G32" s="51">
        <f t="shared" si="3"/>
        <v>3.9579706139997707E-2</v>
      </c>
      <c r="H32" s="1"/>
      <c r="I32" s="8">
        <f t="shared" si="0"/>
        <v>90.57</v>
      </c>
      <c r="J32" s="52">
        <f t="shared" si="4"/>
        <v>4.3553404770134696E-2</v>
      </c>
      <c r="K32" s="48">
        <v>19516.400000000001</v>
      </c>
      <c r="L32" s="52">
        <f t="shared" si="5"/>
        <v>1.1621276992774376E-2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89.89</v>
      </c>
      <c r="D33" s="47">
        <v>4.7399999999999998E-2</v>
      </c>
      <c r="E33" s="52">
        <f t="shared" si="1"/>
        <v>-7.5080048581207537E-3</v>
      </c>
      <c r="F33" s="53">
        <f t="shared" si="2"/>
        <v>3.6361643835616433E-3</v>
      </c>
      <c r="G33" s="51">
        <f t="shared" si="3"/>
        <v>-1.1144169241682397E-2</v>
      </c>
      <c r="H33" s="1"/>
      <c r="I33" s="8">
        <f t="shared" si="0"/>
        <v>89.89</v>
      </c>
      <c r="J33" s="52">
        <f t="shared" si="4"/>
        <v>-7.5080048581207537E-3</v>
      </c>
      <c r="K33" s="48">
        <v>19239</v>
      </c>
      <c r="L33" s="52">
        <f t="shared" si="5"/>
        <v>-1.4213686950462212E-2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100.35</v>
      </c>
      <c r="D34" s="47">
        <v>4.58E-2</v>
      </c>
      <c r="E34" s="52">
        <f t="shared" si="1"/>
        <v>0.11636444543330726</v>
      </c>
      <c r="F34" s="53">
        <f t="shared" si="2"/>
        <v>3.5134246575342465E-3</v>
      </c>
      <c r="G34" s="51">
        <f t="shared" si="3"/>
        <v>0.11285102077577301</v>
      </c>
      <c r="H34" s="1"/>
      <c r="I34" s="8">
        <f t="shared" si="0"/>
        <v>100.35</v>
      </c>
      <c r="J34" s="52">
        <f t="shared" si="4"/>
        <v>0.11636444543330726</v>
      </c>
      <c r="K34" s="48">
        <v>20272</v>
      </c>
      <c r="L34" s="52">
        <f t="shared" si="5"/>
        <v>5.3693019387702101E-2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84.83</v>
      </c>
      <c r="D35" s="47">
        <v>4.5499999999999999E-2</v>
      </c>
      <c r="E35" s="52">
        <f t="shared" si="1"/>
        <v>-0.15465869456900849</v>
      </c>
      <c r="F35" s="53">
        <f t="shared" si="2"/>
        <v>3.4904109589041091E-3</v>
      </c>
      <c r="G35" s="51">
        <f t="shared" si="3"/>
        <v>-0.15814910552791261</v>
      </c>
      <c r="H35" s="1"/>
      <c r="I35" s="8">
        <f t="shared" si="0"/>
        <v>84.83</v>
      </c>
      <c r="J35" s="52">
        <f t="shared" si="4"/>
        <v>-0.15465869456900849</v>
      </c>
      <c r="K35" s="48">
        <v>19097.099999999999</v>
      </c>
      <c r="L35" s="52">
        <f t="shared" si="5"/>
        <v>-5.7956787687450717E-2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84.34</v>
      </c>
      <c r="D36" s="47">
        <v>4.2200000000000001E-2</v>
      </c>
      <c r="E36" s="52">
        <f t="shared" si="1"/>
        <v>-5.7762583991511907E-3</v>
      </c>
      <c r="F36" s="53">
        <f t="shared" si="2"/>
        <v>3.2372602739726029E-3</v>
      </c>
      <c r="G36" s="51">
        <f t="shared" si="3"/>
        <v>-9.0135186731237944E-3</v>
      </c>
      <c r="H36" s="1"/>
      <c r="I36" s="8">
        <f t="shared" si="0"/>
        <v>84.34</v>
      </c>
      <c r="J36" s="52">
        <f t="shared" si="4"/>
        <v>-5.7762583991511907E-3</v>
      </c>
      <c r="K36" s="48">
        <v>19998.8</v>
      </c>
      <c r="L36" s="52">
        <f t="shared" si="5"/>
        <v>4.7216593095286807E-2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79.61</v>
      </c>
      <c r="D37" s="47">
        <v>4.2599999999999999E-2</v>
      </c>
      <c r="E37" s="52">
        <f t="shared" si="1"/>
        <v>-5.6082523120701944E-2</v>
      </c>
      <c r="F37" s="53">
        <f t="shared" si="2"/>
        <v>3.267945205479452E-3</v>
      </c>
      <c r="G37" s="51">
        <f t="shared" si="3"/>
        <v>-5.9350468326181398E-2</v>
      </c>
      <c r="H37" s="1"/>
      <c r="I37" s="8">
        <f t="shared" si="0"/>
        <v>79.61</v>
      </c>
      <c r="J37" s="52">
        <f t="shared" si="4"/>
        <v>-5.6082523120701944E-2</v>
      </c>
      <c r="K37" s="48">
        <v>20028.2</v>
      </c>
      <c r="L37" s="52">
        <f t="shared" si="5"/>
        <v>1.4700882052924857E-3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73.17</v>
      </c>
      <c r="D38" s="47">
        <v>4.24E-2</v>
      </c>
      <c r="E38" s="52">
        <f t="shared" si="1"/>
        <v>-8.0894360005024479E-2</v>
      </c>
      <c r="F38" s="53">
        <f t="shared" si="2"/>
        <v>3.2526027397260277E-3</v>
      </c>
      <c r="G38" s="51">
        <f t="shared" si="3"/>
        <v>-8.4146962744750503E-2</v>
      </c>
      <c r="H38" s="1"/>
      <c r="I38" s="8">
        <f t="shared" si="0"/>
        <v>73.17</v>
      </c>
      <c r="J38" s="52">
        <f t="shared" si="4"/>
        <v>-8.0894360005024479E-2</v>
      </c>
      <c r="K38" s="48">
        <v>19395.900000000001</v>
      </c>
      <c r="L38" s="52">
        <f t="shared" si="5"/>
        <v>-3.1570485615282418E-2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73.260000000000005</v>
      </c>
      <c r="D39" s="47">
        <v>4.24E-2</v>
      </c>
      <c r="E39" s="52">
        <f t="shared" si="1"/>
        <v>1.2300123001229846E-3</v>
      </c>
      <c r="F39" s="53">
        <f t="shared" si="2"/>
        <v>3.2526027397260277E-3</v>
      </c>
      <c r="G39" s="51">
        <f t="shared" si="3"/>
        <v>-2.0225904396030431E-3</v>
      </c>
      <c r="H39" s="1"/>
      <c r="I39" s="8">
        <f t="shared" si="0"/>
        <v>73.260000000000005</v>
      </c>
      <c r="J39" s="52">
        <f t="shared" si="4"/>
        <v>1.2300123001229846E-3</v>
      </c>
      <c r="K39" s="48">
        <v>19114.2</v>
      </c>
      <c r="L39" s="52">
        <f t="shared" si="5"/>
        <v>-1.4523687995916745E-2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75.73</v>
      </c>
      <c r="D40" s="47">
        <v>4.2299999999999997E-2</v>
      </c>
      <c r="E40" s="52">
        <f t="shared" si="1"/>
        <v>3.3715533715533708E-2</v>
      </c>
      <c r="F40" s="53">
        <f t="shared" si="2"/>
        <v>3.2449315068493151E-3</v>
      </c>
      <c r="G40" s="51">
        <f t="shared" si="3"/>
        <v>3.0470602208684392E-2</v>
      </c>
      <c r="H40" s="1"/>
      <c r="I40" s="8">
        <f t="shared" si="0"/>
        <v>75.73</v>
      </c>
      <c r="J40" s="52">
        <f t="shared" si="4"/>
        <v>3.3715533715533708E-2</v>
      </c>
      <c r="K40" s="48">
        <v>19783.8</v>
      </c>
      <c r="L40" s="52">
        <f t="shared" si="5"/>
        <v>3.5031547226669124E-2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76.03</v>
      </c>
      <c r="D41" s="47">
        <v>4.2200000000000001E-2</v>
      </c>
      <c r="E41" s="52">
        <f t="shared" si="1"/>
        <v>3.9614419648752452E-3</v>
      </c>
      <c r="F41" s="53">
        <f t="shared" si="2"/>
        <v>3.2372602739726029E-3</v>
      </c>
      <c r="G41" s="51">
        <f t="shared" si="3"/>
        <v>7.2418169090264235E-4</v>
      </c>
      <c r="H41" s="1"/>
      <c r="I41" s="8">
        <f t="shared" si="0"/>
        <v>76.03</v>
      </c>
      <c r="J41" s="52">
        <f t="shared" si="4"/>
        <v>3.9614419648752452E-3</v>
      </c>
      <c r="K41" s="48">
        <v>19981.099999999999</v>
      </c>
      <c r="L41" s="52">
        <f t="shared" si="5"/>
        <v>9.9728060332191504E-3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5.2222857851831382E-3</v>
      </c>
      <c r="H43" s="1"/>
      <c r="I43" s="1"/>
      <c r="J43" s="1"/>
      <c r="K43" s="48" t="s">
        <v>65</v>
      </c>
      <c r="L43" s="82">
        <f>COVAR(J20:J41,L20:L41)</f>
        <v>2.6648030240491415E-3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1.3119365558916414E-3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2.0311980881103211</v>
      </c>
    </row>
  </sheetData>
  <mergeCells count="1">
    <mergeCell ref="B4:D4"/>
  </mergeCells>
  <conditionalFormatting sqref="S10">
    <cfRule type="expression" dxfId="474" priority="19">
      <formula>IF($Q$10&gt;$Q$11,1,0)</formula>
    </cfRule>
  </conditionalFormatting>
  <conditionalFormatting sqref="Q10">
    <cfRule type="expression" dxfId="473" priority="10">
      <formula>IF($Q$10&lt;$Q$11,1,0)</formula>
    </cfRule>
    <cfRule type="expression" dxfId="472" priority="18">
      <formula>IF($Q$10&gt;$Q$11,1,0)</formula>
    </cfRule>
  </conditionalFormatting>
  <conditionalFormatting sqref="Q12">
    <cfRule type="expression" dxfId="471" priority="9">
      <formula>IF($Q$12&gt;$Q$13,1,0)</formula>
    </cfRule>
    <cfRule type="expression" dxfId="470" priority="17">
      <formula>IF($Q$12&lt;$Q$13,1,0)</formula>
    </cfRule>
  </conditionalFormatting>
  <conditionalFormatting sqref="Q14">
    <cfRule type="expression" dxfId="469" priority="16">
      <formula>IF($Q$15="Sell",1,0)</formula>
    </cfRule>
  </conditionalFormatting>
  <conditionalFormatting sqref="Q14:Q15">
    <cfRule type="expression" dxfId="468" priority="15">
      <formula>IF($Q$15="Buy",1,0)</formula>
    </cfRule>
  </conditionalFormatting>
  <conditionalFormatting sqref="Q16">
    <cfRule type="expression" dxfId="467" priority="13">
      <formula>IF($Q$16&lt;$Q$17,1,0)</formula>
    </cfRule>
    <cfRule type="expression" dxfId="466" priority="14">
      <formula>IF($Q$16&gt;$Q$17,1,0)</formula>
    </cfRule>
  </conditionalFormatting>
  <conditionalFormatting sqref="Q18">
    <cfRule type="expression" dxfId="465" priority="11">
      <formula>IF($Q$18&lt;$Q$19,1,0)</formula>
    </cfRule>
    <cfRule type="expression" dxfId="464" priority="12">
      <formula>IF($Q$18&gt;$Q$19,1,0)</formula>
    </cfRule>
  </conditionalFormatting>
  <conditionalFormatting sqref="Q23">
    <cfRule type="expression" dxfId="463" priority="7">
      <formula>IF($Q$23&lt;1.1,1,0)</formula>
    </cfRule>
    <cfRule type="expression" dxfId="462" priority="8">
      <formula>IF($Q$23&gt;1.1,1,0)</formula>
    </cfRule>
  </conditionalFormatting>
  <conditionalFormatting sqref="Q26">
    <cfRule type="expression" dxfId="461" priority="5">
      <formula>IF($Q$26&lt;$Q$19,1,0)</formula>
    </cfRule>
    <cfRule type="expression" dxfId="460" priority="6">
      <formula>IF($Q$26&gt;$Q$19,1,0)</formula>
    </cfRule>
  </conditionalFormatting>
  <conditionalFormatting sqref="Q30">
    <cfRule type="expression" dxfId="459" priority="3">
      <formula>IF($Q$28&lt;$Q$29,1,0)</formula>
    </cfRule>
    <cfRule type="expression" dxfId="458" priority="4">
      <formula>IF($Q$28&gt;$Q$29,1,0)</formula>
    </cfRule>
  </conditionalFormatting>
  <conditionalFormatting sqref="R31">
    <cfRule type="expression" dxfId="457" priority="1">
      <formula>IF($R$31&lt;0.485,1,0)</formula>
    </cfRule>
    <cfRule type="expression" dxfId="456" priority="2">
      <formula>IF($R$31&gt;0.49,1,0)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31C06-499D-4048-BF37-4ECAD09EB4A8}">
  <sheetPr codeName="Sheet33"/>
  <dimension ref="B2:R45"/>
  <sheetViews>
    <sheetView zoomScale="85" zoomScaleNormal="85" workbookViewId="0"/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209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210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JBL</v>
      </c>
      <c r="R5" s="8"/>
    </row>
    <row r="6" spans="2:18" x14ac:dyDescent="0.2">
      <c r="B6" s="1" t="s">
        <v>4</v>
      </c>
      <c r="C6" s="1" t="s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NYSE</v>
      </c>
      <c r="R6" s="8"/>
    </row>
    <row r="7" spans="2:18" x14ac:dyDescent="0.2">
      <c r="B7" s="1" t="s">
        <v>7</v>
      </c>
      <c r="C7" s="13">
        <v>45823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175.84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41.63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119.19</v>
      </c>
      <c r="R11" s="31">
        <f>IF(Q10&gt;Q11,0,1)</f>
        <v>1</v>
      </c>
    </row>
    <row r="12" spans="2:18" x14ac:dyDescent="0.2">
      <c r="B12" s="1" t="s">
        <v>26</v>
      </c>
      <c r="C12" s="32">
        <f>Q23</f>
        <v>1.1399999999999999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1.94</v>
      </c>
      <c r="R12" s="25"/>
    </row>
    <row r="13" spans="2:18" x14ac:dyDescent="0.2">
      <c r="B13" s="1" t="s">
        <v>30</v>
      </c>
      <c r="C13" s="26">
        <f>G43</f>
        <v>1.9468410448355209E-2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1.83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6.2893987911124938E-2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0.05</v>
      </c>
      <c r="R14" s="31"/>
    </row>
    <row r="15" spans="2:18" ht="19" x14ac:dyDescent="0.25">
      <c r="B15" s="1" t="s">
        <v>36</v>
      </c>
      <c r="C15" s="39">
        <f>C10*(1+C14)</f>
        <v>186.89927883429223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f>IF(Q15="Sell",0,1)</f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9.01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26.45</v>
      </c>
      <c r="R17" s="42">
        <f>IF(Q16&lt;Q17,0,1)</f>
        <v>0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Jabil Circuit Inc</v>
      </c>
      <c r="J18" s="34" t="s">
        <v>45</v>
      </c>
      <c r="K18" s="34" t="str">
        <f>_xlfn.CONCAT("Precio ",C6)</f>
        <v>Precio NYSE</v>
      </c>
      <c r="L18" s="34" t="s">
        <v>46</v>
      </c>
      <c r="M18" s="1"/>
      <c r="N18" s="21"/>
      <c r="O18" s="22"/>
      <c r="P18" s="23" t="s">
        <v>47</v>
      </c>
      <c r="Q18" s="137">
        <f>C14</f>
        <v>6.2893987911124938E-2</v>
      </c>
      <c r="R18" s="25"/>
    </row>
    <row r="19" spans="2:18" x14ac:dyDescent="0.2">
      <c r="B19" s="46">
        <v>45108</v>
      </c>
      <c r="C19">
        <v>114.42</v>
      </c>
      <c r="D19" s="47">
        <v>5.2699999999999997E-2</v>
      </c>
      <c r="E19" s="1"/>
      <c r="F19" s="1"/>
      <c r="G19" s="1"/>
      <c r="H19" s="1"/>
      <c r="I19" s="8">
        <f>C19</f>
        <v>114.42</v>
      </c>
      <c r="J19" s="8"/>
      <c r="K19" s="48">
        <v>16000.4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126.89</v>
      </c>
      <c r="D20" s="47">
        <v>5.28E-2</v>
      </c>
      <c r="E20" s="52">
        <f>C20/C19-1</f>
        <v>0.10898444327914691</v>
      </c>
      <c r="F20" s="53">
        <f>D20/365*28</f>
        <v>4.0504109589041097E-3</v>
      </c>
      <c r="G20" s="51">
        <f>E20-F20</f>
        <v>0.1049340323202428</v>
      </c>
      <c r="H20" s="1"/>
      <c r="I20" s="8">
        <f t="shared" ref="I20:I41" si="0">C20</f>
        <v>126.89</v>
      </c>
      <c r="J20" s="52">
        <f>I20/I19-1</f>
        <v>0.10898444327914691</v>
      </c>
      <c r="K20" s="48">
        <v>15398.2</v>
      </c>
      <c r="L20" s="52">
        <f>K20/K19-1</f>
        <v>-3.7636559086022814E-2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122.8</v>
      </c>
      <c r="D21" s="47">
        <v>5.2900000000000003E-2</v>
      </c>
      <c r="E21" s="52">
        <f t="shared" ref="E21:E41" si="1">C21/C20-1</f>
        <v>-3.2232642446213267E-2</v>
      </c>
      <c r="F21" s="53">
        <f t="shared" ref="F21:F41" si="2">D21/365*28</f>
        <v>4.0580821917808214E-3</v>
      </c>
      <c r="G21" s="51">
        <f t="shared" ref="G21:G41" si="3">E21-F21</f>
        <v>-3.6290724637994085E-2</v>
      </c>
      <c r="H21" s="1"/>
      <c r="I21" s="8">
        <f t="shared" si="0"/>
        <v>122.8</v>
      </c>
      <c r="J21" s="52">
        <f t="shared" ref="J21:J41" si="4">I21/I20-1</f>
        <v>-3.2232642446213267E-2</v>
      </c>
      <c r="K21" s="48">
        <v>14919.2</v>
      </c>
      <c r="L21" s="52">
        <f t="shared" ref="L21:L41" si="5">K21/K20-1</f>
        <v>-3.1107532049200581E-2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115.32</v>
      </c>
      <c r="D22" s="47">
        <v>5.2900000000000003E-2</v>
      </c>
      <c r="E22" s="52">
        <f t="shared" si="1"/>
        <v>-6.0912052117263915E-2</v>
      </c>
      <c r="F22" s="53">
        <f t="shared" si="2"/>
        <v>4.0580821917808214E-3</v>
      </c>
      <c r="G22" s="51">
        <f t="shared" si="3"/>
        <v>-6.4970134309044733E-2</v>
      </c>
      <c r="H22" s="1"/>
      <c r="I22" s="8">
        <f t="shared" si="0"/>
        <v>115.32</v>
      </c>
      <c r="J22" s="52">
        <f t="shared" si="4"/>
        <v>-6.0912052117263915E-2</v>
      </c>
      <c r="K22" s="48">
        <v>16088.8</v>
      </c>
      <c r="L22" s="52">
        <f t="shared" si="5"/>
        <v>7.8395624430264155E-2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C23">
        <v>127.4</v>
      </c>
      <c r="D23" s="47">
        <v>5.2900000000000003E-2</v>
      </c>
      <c r="E23" s="52">
        <f t="shared" si="1"/>
        <v>0.10475199445022554</v>
      </c>
      <c r="F23" s="53">
        <f t="shared" si="2"/>
        <v>4.0580821917808214E-3</v>
      </c>
      <c r="G23" s="51">
        <f t="shared" si="3"/>
        <v>0.10069391225844472</v>
      </c>
      <c r="H23" s="1"/>
      <c r="I23" s="8">
        <f t="shared" si="0"/>
        <v>127.4</v>
      </c>
      <c r="J23" s="52">
        <f t="shared" si="4"/>
        <v>0.10475199445022554</v>
      </c>
      <c r="K23" s="48">
        <v>16852.900000000001</v>
      </c>
      <c r="L23" s="52">
        <f t="shared" si="5"/>
        <v>4.7492665705335613E-2</v>
      </c>
      <c r="M23" s="1"/>
      <c r="N23" s="57" t="s">
        <v>51</v>
      </c>
      <c r="O23" s="58" t="s">
        <v>52</v>
      </c>
      <c r="P23" s="59" t="s">
        <v>44</v>
      </c>
      <c r="Q23" s="128">
        <v>1.1399999999999999</v>
      </c>
      <c r="R23" s="61">
        <f>IF(Q23&gt;1.1,0,1)</f>
        <v>0</v>
      </c>
    </row>
    <row r="24" spans="2:18" x14ac:dyDescent="0.2">
      <c r="B24" s="46">
        <v>45261</v>
      </c>
      <c r="C24">
        <v>125.29</v>
      </c>
      <c r="D24" s="47">
        <v>5.33E-2</v>
      </c>
      <c r="E24" s="52">
        <f t="shared" si="1"/>
        <v>-1.6562009419152313E-2</v>
      </c>
      <c r="F24" s="53">
        <f t="shared" si="2"/>
        <v>4.0887671232876718E-3</v>
      </c>
      <c r="G24" s="51">
        <f t="shared" si="3"/>
        <v>-2.0650776542439984E-2</v>
      </c>
      <c r="H24" s="1"/>
      <c r="I24" s="8">
        <f t="shared" si="0"/>
        <v>125.29</v>
      </c>
      <c r="J24" s="52">
        <f t="shared" si="4"/>
        <v>-1.6562009419152313E-2</v>
      </c>
      <c r="K24" s="48">
        <v>16911.099999999999</v>
      </c>
      <c r="L24" s="52">
        <f t="shared" si="5"/>
        <v>3.4534115790159081E-3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144.09</v>
      </c>
      <c r="D25" s="47">
        <v>5.2699999999999997E-2</v>
      </c>
      <c r="E25" s="52">
        <f t="shared" si="1"/>
        <v>0.15005187963923694</v>
      </c>
      <c r="F25" s="53">
        <f t="shared" si="2"/>
        <v>4.0427397260273962E-3</v>
      </c>
      <c r="G25" s="51">
        <f t="shared" si="3"/>
        <v>0.14600913991320955</v>
      </c>
      <c r="H25" s="1"/>
      <c r="I25" s="8">
        <f t="shared" si="0"/>
        <v>144.09</v>
      </c>
      <c r="J25" s="52">
        <f t="shared" si="4"/>
        <v>0.15005187963923694</v>
      </c>
      <c r="K25" s="48">
        <v>17607.400000000001</v>
      </c>
      <c r="L25" s="52">
        <f t="shared" si="5"/>
        <v>4.1174140061853048E-2</v>
      </c>
      <c r="M25" s="1"/>
      <c r="N25" s="30"/>
      <c r="O25" s="64"/>
      <c r="P25" s="30" t="s">
        <v>23</v>
      </c>
      <c r="Q25" s="84">
        <f>Q10</f>
        <v>41.63</v>
      </c>
      <c r="R25" s="31"/>
    </row>
    <row r="26" spans="2:18" x14ac:dyDescent="0.2">
      <c r="B26" s="46">
        <v>45323</v>
      </c>
      <c r="C26">
        <v>133.94999999999999</v>
      </c>
      <c r="D26" s="47">
        <v>5.2999999999999999E-2</v>
      </c>
      <c r="E26" s="52">
        <f t="shared" si="1"/>
        <v>-7.03726837393297E-2</v>
      </c>
      <c r="F26" s="53">
        <f t="shared" si="2"/>
        <v>4.0657534246575349E-3</v>
      </c>
      <c r="G26" s="51">
        <f t="shared" si="3"/>
        <v>-7.4438437163987237E-2</v>
      </c>
      <c r="H26" s="1"/>
      <c r="I26" s="8">
        <f t="shared" si="0"/>
        <v>133.94999999999999</v>
      </c>
      <c r="J26" s="52">
        <f t="shared" si="4"/>
        <v>-7.03726837393297E-2</v>
      </c>
      <c r="K26" s="48">
        <v>18312.7</v>
      </c>
      <c r="L26" s="52">
        <f t="shared" si="5"/>
        <v>4.0057021479605215E-2</v>
      </c>
      <c r="M26" s="1"/>
      <c r="N26" s="49" t="s">
        <v>54</v>
      </c>
      <c r="O26" s="64"/>
      <c r="P26" s="30" t="s">
        <v>55</v>
      </c>
      <c r="Q26" s="132">
        <f>1/Q25</f>
        <v>2.4021138601969732E-2</v>
      </c>
      <c r="R26" s="31">
        <f>IF(Q26&lt;Q19,0,1)</f>
        <v>0</v>
      </c>
    </row>
    <row r="27" spans="2:18" x14ac:dyDescent="0.2">
      <c r="B27" s="46">
        <v>45352</v>
      </c>
      <c r="C27">
        <v>117.36</v>
      </c>
      <c r="D27" s="47">
        <v>5.2900000000000003E-2</v>
      </c>
      <c r="E27" s="52">
        <f t="shared" si="1"/>
        <v>-0.12385218365061579</v>
      </c>
      <c r="F27" s="53">
        <f t="shared" si="2"/>
        <v>4.0580821917808214E-3</v>
      </c>
      <c r="G27" s="51">
        <f t="shared" si="3"/>
        <v>-0.12791026584239662</v>
      </c>
      <c r="H27" s="1"/>
      <c r="I27" s="8">
        <f t="shared" si="0"/>
        <v>117.36</v>
      </c>
      <c r="J27" s="52">
        <f t="shared" si="4"/>
        <v>-0.12385218365061579</v>
      </c>
      <c r="K27" s="48">
        <v>17603.3</v>
      </c>
      <c r="L27" s="52">
        <f t="shared" si="5"/>
        <v>-3.8738143474201014E-2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118.9</v>
      </c>
      <c r="D28" s="47">
        <v>5.28E-2</v>
      </c>
      <c r="E28" s="52">
        <f t="shared" si="1"/>
        <v>1.3122017723244728E-2</v>
      </c>
      <c r="F28" s="53">
        <f t="shared" si="2"/>
        <v>4.0504109589041097E-3</v>
      </c>
      <c r="G28" s="51">
        <f t="shared" si="3"/>
        <v>9.071606764340618E-3</v>
      </c>
      <c r="H28" s="1"/>
      <c r="I28" s="8">
        <f t="shared" si="0"/>
        <v>118.9</v>
      </c>
      <c r="J28" s="52">
        <f t="shared" si="4"/>
        <v>1.3122017723244728E-2</v>
      </c>
      <c r="K28" s="48">
        <v>18083.7</v>
      </c>
      <c r="L28" s="52">
        <f t="shared" si="5"/>
        <v>2.7290337607153381E-2</v>
      </c>
      <c r="M28" s="1"/>
      <c r="N28" s="30"/>
      <c r="O28" s="1"/>
      <c r="P28" s="30" t="s">
        <v>57</v>
      </c>
      <c r="Q28" s="51">
        <f>Q18</f>
        <v>6.2893987911124938E-2</v>
      </c>
      <c r="R28" s="31"/>
    </row>
    <row r="29" spans="2:18" x14ac:dyDescent="0.2">
      <c r="B29" s="46">
        <v>45413</v>
      </c>
      <c r="C29">
        <v>108.79</v>
      </c>
      <c r="D29" s="47">
        <v>5.2699999999999997E-2</v>
      </c>
      <c r="E29" s="52">
        <f t="shared" si="1"/>
        <v>-8.5029436501261602E-2</v>
      </c>
      <c r="F29" s="53">
        <f t="shared" si="2"/>
        <v>4.0427397260273962E-3</v>
      </c>
      <c r="G29" s="51">
        <f t="shared" si="3"/>
        <v>-8.9072176227288996E-2</v>
      </c>
      <c r="H29" s="1"/>
      <c r="I29" s="8">
        <f t="shared" si="0"/>
        <v>108.79</v>
      </c>
      <c r="J29" s="52">
        <f t="shared" si="4"/>
        <v>-8.5029436501261602E-2</v>
      </c>
      <c r="K29" s="48">
        <v>18026.5</v>
      </c>
      <c r="L29" s="52">
        <f t="shared" si="5"/>
        <v>-3.1630695045815616E-3</v>
      </c>
      <c r="M29" s="1"/>
      <c r="N29" s="49" t="s">
        <v>117</v>
      </c>
      <c r="O29" s="1"/>
      <c r="P29" s="30" t="s">
        <v>58</v>
      </c>
      <c r="Q29" s="67">
        <v>5.2900000000000003E-2</v>
      </c>
      <c r="R29" s="31"/>
    </row>
    <row r="30" spans="2:18" ht="17" thickBot="1" x14ac:dyDescent="0.25">
      <c r="B30" s="46">
        <v>45444</v>
      </c>
      <c r="C30">
        <v>112.67</v>
      </c>
      <c r="D30" s="47">
        <v>5.2699999999999997E-2</v>
      </c>
      <c r="E30" s="52">
        <f t="shared" si="1"/>
        <v>3.5665042742899056E-2</v>
      </c>
      <c r="F30" s="53">
        <f t="shared" si="2"/>
        <v>4.0427397260273962E-3</v>
      </c>
      <c r="G30" s="51">
        <f t="shared" si="3"/>
        <v>3.1622303016871661E-2</v>
      </c>
      <c r="I30" s="8">
        <f t="shared" si="0"/>
        <v>112.67</v>
      </c>
      <c r="J30" s="52">
        <f t="shared" si="4"/>
        <v>3.5665042742899056E-2</v>
      </c>
      <c r="K30" s="48">
        <v>18710</v>
      </c>
      <c r="L30" s="52">
        <f t="shared" si="5"/>
        <v>3.7916400854297816E-2</v>
      </c>
      <c r="M30" s="1"/>
      <c r="N30" s="1"/>
      <c r="O30" s="1"/>
      <c r="P30" s="33"/>
      <c r="Q30" s="68">
        <f>Q28-Q29</f>
        <v>9.9939879111249352E-3</v>
      </c>
      <c r="R30" s="31">
        <f>IF(Q28&lt;Q29,0,1)</f>
        <v>1</v>
      </c>
    </row>
    <row r="31" spans="2:18" ht="17" thickBot="1" x14ac:dyDescent="0.25">
      <c r="B31" s="46">
        <v>45474</v>
      </c>
      <c r="C31">
        <v>109.28</v>
      </c>
      <c r="D31" s="47">
        <v>5.28E-2</v>
      </c>
      <c r="E31" s="52">
        <f t="shared" si="1"/>
        <v>-3.0087867222863274E-2</v>
      </c>
      <c r="F31" s="53">
        <f t="shared" si="2"/>
        <v>4.0504109589041097E-3</v>
      </c>
      <c r="G31" s="51">
        <f t="shared" si="3"/>
        <v>-3.4138278181767387E-2</v>
      </c>
      <c r="H31" s="1"/>
      <c r="I31" s="8">
        <f t="shared" si="0"/>
        <v>109.28</v>
      </c>
      <c r="J31" s="52">
        <f t="shared" si="4"/>
        <v>-3.0087867222863274E-2</v>
      </c>
      <c r="K31" s="48">
        <v>19292.2</v>
      </c>
      <c r="L31" s="52">
        <f t="shared" si="5"/>
        <v>3.1117049706039568E-2</v>
      </c>
      <c r="M31" s="1"/>
      <c r="N31" s="1"/>
      <c r="O31" s="1"/>
      <c r="P31" s="30"/>
      <c r="Q31" s="69"/>
      <c r="R31" s="133">
        <f>SUM(R10:R30)/8</f>
        <v>0.5</v>
      </c>
    </row>
    <row r="32" spans="2:18" x14ac:dyDescent="0.2">
      <c r="B32" s="46">
        <v>45505</v>
      </c>
      <c r="C32">
        <v>119.83</v>
      </c>
      <c r="D32" s="47">
        <v>5.1799999999999999E-2</v>
      </c>
      <c r="E32" s="52">
        <f t="shared" si="1"/>
        <v>9.6540995607613533E-2</v>
      </c>
      <c r="F32" s="53">
        <f t="shared" si="2"/>
        <v>3.9736986301369863E-3</v>
      </c>
      <c r="G32" s="51">
        <f t="shared" si="3"/>
        <v>9.2567296977476551E-2</v>
      </c>
      <c r="H32" s="1"/>
      <c r="I32" s="8">
        <f t="shared" si="0"/>
        <v>119.83</v>
      </c>
      <c r="J32" s="52">
        <f t="shared" si="4"/>
        <v>9.6540995607613533E-2</v>
      </c>
      <c r="K32" s="48">
        <v>19516.400000000001</v>
      </c>
      <c r="L32" s="52">
        <f t="shared" si="5"/>
        <v>1.1621276992774376E-2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123.09</v>
      </c>
      <c r="D33" s="47">
        <v>4.7399999999999998E-2</v>
      </c>
      <c r="E33" s="52">
        <f t="shared" si="1"/>
        <v>2.7205207377117624E-2</v>
      </c>
      <c r="F33" s="53">
        <f t="shared" si="2"/>
        <v>3.6361643835616433E-3</v>
      </c>
      <c r="G33" s="51">
        <f t="shared" si="3"/>
        <v>2.3569042993555979E-2</v>
      </c>
      <c r="H33" s="1"/>
      <c r="I33" s="8">
        <f t="shared" si="0"/>
        <v>123.09</v>
      </c>
      <c r="J33" s="52">
        <f t="shared" si="4"/>
        <v>2.7205207377117624E-2</v>
      </c>
      <c r="K33" s="48">
        <v>19239</v>
      </c>
      <c r="L33" s="52">
        <f t="shared" si="5"/>
        <v>-1.4213686950462212E-2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135.83000000000001</v>
      </c>
      <c r="D34" s="47">
        <v>4.58E-2</v>
      </c>
      <c r="E34" s="52">
        <f t="shared" si="1"/>
        <v>0.10350150296530991</v>
      </c>
      <c r="F34" s="53">
        <f t="shared" si="2"/>
        <v>3.5134246575342465E-3</v>
      </c>
      <c r="G34" s="51">
        <f t="shared" si="3"/>
        <v>9.998807830777566E-2</v>
      </c>
      <c r="H34" s="1"/>
      <c r="I34" s="8">
        <f t="shared" si="0"/>
        <v>135.83000000000001</v>
      </c>
      <c r="J34" s="52">
        <f t="shared" si="4"/>
        <v>0.10350150296530991</v>
      </c>
      <c r="K34" s="48">
        <v>20272</v>
      </c>
      <c r="L34" s="52">
        <f t="shared" si="5"/>
        <v>5.3693019387702101E-2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143.9</v>
      </c>
      <c r="D35" s="47">
        <v>4.5499999999999999E-2</v>
      </c>
      <c r="E35" s="52">
        <f t="shared" si="1"/>
        <v>5.9412500920267952E-2</v>
      </c>
      <c r="F35" s="53">
        <f t="shared" si="2"/>
        <v>3.4904109589041091E-3</v>
      </c>
      <c r="G35" s="51">
        <f t="shared" si="3"/>
        <v>5.5922089961363844E-2</v>
      </c>
      <c r="H35" s="1"/>
      <c r="I35" s="8">
        <f t="shared" si="0"/>
        <v>143.9</v>
      </c>
      <c r="J35" s="52">
        <f t="shared" si="4"/>
        <v>5.9412500920267952E-2</v>
      </c>
      <c r="K35" s="48">
        <v>19097.099999999999</v>
      </c>
      <c r="L35" s="52">
        <f t="shared" si="5"/>
        <v>-5.7956787687450717E-2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162.41</v>
      </c>
      <c r="D36" s="47">
        <v>4.2200000000000001E-2</v>
      </c>
      <c r="E36" s="52">
        <f t="shared" si="1"/>
        <v>0.12863099374565667</v>
      </c>
      <c r="F36" s="53">
        <f t="shared" si="2"/>
        <v>3.2372602739726029E-3</v>
      </c>
      <c r="G36" s="51">
        <f t="shared" si="3"/>
        <v>0.12539373347168406</v>
      </c>
      <c r="H36" s="1"/>
      <c r="I36" s="8">
        <f t="shared" si="0"/>
        <v>162.41</v>
      </c>
      <c r="J36" s="52">
        <f t="shared" si="4"/>
        <v>0.12863099374565667</v>
      </c>
      <c r="K36" s="48">
        <v>19998.8</v>
      </c>
      <c r="L36" s="52">
        <f t="shared" si="5"/>
        <v>4.7216593095286807E-2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154.91999999999999</v>
      </c>
      <c r="D37" s="47">
        <v>4.2599999999999999E-2</v>
      </c>
      <c r="E37" s="52">
        <f t="shared" si="1"/>
        <v>-4.61178498860908E-2</v>
      </c>
      <c r="F37" s="53">
        <f t="shared" si="2"/>
        <v>3.267945205479452E-3</v>
      </c>
      <c r="G37" s="51">
        <f t="shared" si="3"/>
        <v>-4.9385795091570255E-2</v>
      </c>
      <c r="H37" s="1"/>
      <c r="I37" s="8">
        <f t="shared" si="0"/>
        <v>154.91999999999999</v>
      </c>
      <c r="J37" s="52">
        <f t="shared" si="4"/>
        <v>-4.61178498860908E-2</v>
      </c>
      <c r="K37" s="48">
        <v>20028.2</v>
      </c>
      <c r="L37" s="52">
        <f t="shared" si="5"/>
        <v>1.4700882052924857E-3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136.07</v>
      </c>
      <c r="D38" s="47">
        <v>4.24E-2</v>
      </c>
      <c r="E38" s="52">
        <f t="shared" si="1"/>
        <v>-0.12167570358894908</v>
      </c>
      <c r="F38" s="53">
        <f t="shared" si="2"/>
        <v>3.2526027397260277E-3</v>
      </c>
      <c r="G38" s="51">
        <f t="shared" si="3"/>
        <v>-0.1249283063286751</v>
      </c>
      <c r="H38" s="1"/>
      <c r="I38" s="8">
        <f t="shared" si="0"/>
        <v>136.07</v>
      </c>
      <c r="J38" s="52">
        <f t="shared" si="4"/>
        <v>-0.12167570358894908</v>
      </c>
      <c r="K38" s="48">
        <v>19395.900000000001</v>
      </c>
      <c r="L38" s="52">
        <f t="shared" si="5"/>
        <v>-3.1570485615282418E-2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146.56</v>
      </c>
      <c r="D39" s="47">
        <v>4.24E-2</v>
      </c>
      <c r="E39" s="52">
        <f t="shared" si="1"/>
        <v>7.7092672888954272E-2</v>
      </c>
      <c r="F39" s="53">
        <f t="shared" si="2"/>
        <v>3.2526027397260277E-3</v>
      </c>
      <c r="G39" s="51">
        <f t="shared" si="3"/>
        <v>7.3840070149228249E-2</v>
      </c>
      <c r="H39" s="1"/>
      <c r="I39" s="8">
        <f t="shared" si="0"/>
        <v>146.56</v>
      </c>
      <c r="J39" s="52">
        <f t="shared" si="4"/>
        <v>7.7092672888954272E-2</v>
      </c>
      <c r="K39" s="48">
        <v>19114.2</v>
      </c>
      <c r="L39" s="52">
        <f t="shared" si="5"/>
        <v>-1.4523687995916745E-2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168.01</v>
      </c>
      <c r="D40" s="47">
        <v>4.2299999999999997E-2</v>
      </c>
      <c r="E40" s="52">
        <f t="shared" si="1"/>
        <v>0.14635644104803491</v>
      </c>
      <c r="F40" s="53">
        <f t="shared" si="2"/>
        <v>3.2449315068493151E-3</v>
      </c>
      <c r="G40" s="51">
        <f t="shared" si="3"/>
        <v>0.14311150954118559</v>
      </c>
      <c r="H40" s="1"/>
      <c r="I40" s="8">
        <f t="shared" si="0"/>
        <v>168.01</v>
      </c>
      <c r="J40" s="52">
        <f t="shared" si="4"/>
        <v>0.14635644104803491</v>
      </c>
      <c r="K40" s="48">
        <v>19783.8</v>
      </c>
      <c r="L40" s="52">
        <f t="shared" si="5"/>
        <v>3.5031547226669124E-2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175.84</v>
      </c>
      <c r="D41" s="47">
        <v>4.2200000000000001E-2</v>
      </c>
      <c r="E41" s="52">
        <f t="shared" si="1"/>
        <v>4.6604368787572348E-2</v>
      </c>
      <c r="F41" s="53">
        <f t="shared" si="2"/>
        <v>3.2372602739726029E-3</v>
      </c>
      <c r="G41" s="51">
        <f t="shared" si="3"/>
        <v>4.3367108513599747E-2</v>
      </c>
      <c r="H41" s="1"/>
      <c r="I41" s="8">
        <f t="shared" si="0"/>
        <v>175.84</v>
      </c>
      <c r="J41" s="52">
        <f t="shared" si="4"/>
        <v>4.6604368787572348E-2</v>
      </c>
      <c r="K41" s="48">
        <v>19981.099999999999</v>
      </c>
      <c r="L41" s="52">
        <f t="shared" si="5"/>
        <v>9.9728060332191504E-3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1.9468410448355209E-2</v>
      </c>
      <c r="H43" s="1"/>
      <c r="I43" s="1"/>
      <c r="J43" s="1"/>
      <c r="K43" s="48" t="s">
        <v>65</v>
      </c>
      <c r="L43" s="82">
        <f>COVAR(J20:J41,L20:L41)</f>
        <v>8.1393630067623588E-4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1.3119365558916414E-3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0.62040827890724803</v>
      </c>
    </row>
  </sheetData>
  <mergeCells count="1">
    <mergeCell ref="B4:D4"/>
  </mergeCells>
  <conditionalFormatting sqref="S10">
    <cfRule type="expression" dxfId="455" priority="19">
      <formula>IF($Q$10&gt;$Q$11,1,0)</formula>
    </cfRule>
  </conditionalFormatting>
  <conditionalFormatting sqref="Q10">
    <cfRule type="expression" dxfId="454" priority="10">
      <formula>IF($Q$10&lt;$Q$11,1,0)</formula>
    </cfRule>
    <cfRule type="expression" dxfId="453" priority="18">
      <formula>IF($Q$10&gt;$Q$11,1,0)</formula>
    </cfRule>
  </conditionalFormatting>
  <conditionalFormatting sqref="Q12">
    <cfRule type="expression" dxfId="452" priority="9">
      <formula>IF($Q$12&gt;$Q$13,1,0)</formula>
    </cfRule>
    <cfRule type="expression" dxfId="451" priority="17">
      <formula>IF($Q$12&lt;$Q$13,1,0)</formula>
    </cfRule>
  </conditionalFormatting>
  <conditionalFormatting sqref="Q14">
    <cfRule type="expression" dxfId="450" priority="16">
      <formula>IF($Q$15="Sell",1,0)</formula>
    </cfRule>
  </conditionalFormatting>
  <conditionalFormatting sqref="Q14:Q15">
    <cfRule type="expression" dxfId="449" priority="15">
      <formula>IF($Q$15="Buy",1,0)</formula>
    </cfRule>
  </conditionalFormatting>
  <conditionalFormatting sqref="Q16">
    <cfRule type="expression" dxfId="448" priority="13">
      <formula>IF($Q$16&lt;$Q$17,1,0)</formula>
    </cfRule>
    <cfRule type="expression" dxfId="447" priority="14">
      <formula>IF($Q$16&gt;$Q$17,1,0)</formula>
    </cfRule>
  </conditionalFormatting>
  <conditionalFormatting sqref="Q18">
    <cfRule type="expression" dxfId="446" priority="11">
      <formula>IF($Q$18&lt;$Q$19,1,0)</formula>
    </cfRule>
    <cfRule type="expression" dxfId="445" priority="12">
      <formula>IF($Q$18&gt;$Q$19,1,0)</formula>
    </cfRule>
  </conditionalFormatting>
  <conditionalFormatting sqref="Q23">
    <cfRule type="expression" dxfId="444" priority="7">
      <formula>IF($Q$23&lt;1.1,1,0)</formula>
    </cfRule>
    <cfRule type="expression" dxfId="443" priority="8">
      <formula>IF($Q$23&gt;1.1,1,0)</formula>
    </cfRule>
  </conditionalFormatting>
  <conditionalFormatting sqref="Q26">
    <cfRule type="expression" dxfId="442" priority="5">
      <formula>IF($Q$26&lt;$Q$19,1,0)</formula>
    </cfRule>
    <cfRule type="expression" dxfId="441" priority="6">
      <formula>IF($Q$26&gt;$Q$19,1,0)</formula>
    </cfRule>
  </conditionalFormatting>
  <conditionalFormatting sqref="Q30">
    <cfRule type="expression" dxfId="440" priority="3">
      <formula>IF($Q$28&lt;$Q$29,1,0)</formula>
    </cfRule>
    <cfRule type="expression" dxfId="439" priority="4">
      <formula>IF($Q$28&gt;$Q$29,1,0)</formula>
    </cfRule>
  </conditionalFormatting>
  <conditionalFormatting sqref="R31">
    <cfRule type="expression" dxfId="438" priority="1">
      <formula>IF($R$31&lt;0.485,1,0)</formula>
    </cfRule>
    <cfRule type="expression" dxfId="437" priority="2">
      <formula>IF($R$31&gt;0.49,1,0)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C325A-762F-4532-AA1E-A8F3AC1CEC45}">
  <sheetPr codeName="Sheet32"/>
  <dimension ref="B2:R45"/>
  <sheetViews>
    <sheetView topLeftCell="A3" zoomScale="85" zoomScaleNormal="85" workbookViewId="0">
      <selection activeCell="Q13" sqref="Q13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207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208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WLY</v>
      </c>
      <c r="R5" s="8"/>
    </row>
    <row r="6" spans="2:18" x14ac:dyDescent="0.2">
      <c r="B6" s="1" t="s">
        <v>4</v>
      </c>
      <c r="C6" s="1" t="s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NYSE</v>
      </c>
      <c r="R6" s="8"/>
    </row>
    <row r="7" spans="2:18" x14ac:dyDescent="0.2">
      <c r="B7" s="1" t="s">
        <v>7</v>
      </c>
      <c r="C7" s="13">
        <v>45823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37.729999999999997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50.93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29.94</v>
      </c>
      <c r="R11" s="31">
        <f>IF(Q10&gt;Q11,0,1)</f>
        <v>0</v>
      </c>
    </row>
    <row r="12" spans="2:18" x14ac:dyDescent="0.2">
      <c r="B12" s="1" t="s">
        <v>26</v>
      </c>
      <c r="C12" s="32">
        <f>Q23</f>
        <v>0.89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-0.17</v>
      </c>
      <c r="R12" s="25"/>
    </row>
    <row r="13" spans="2:18" x14ac:dyDescent="0.2">
      <c r="B13" s="1" t="s">
        <v>30</v>
      </c>
      <c r="C13" s="26">
        <f>G43</f>
        <v>7.9744136247321591E-4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0.65</v>
      </c>
      <c r="R13" s="35">
        <f>IF(Q12&lt;Q13,0,1)</f>
        <v>0</v>
      </c>
    </row>
    <row r="14" spans="2:18" x14ac:dyDescent="0.2">
      <c r="B14" s="1" t="s">
        <v>32</v>
      </c>
      <c r="C14" s="36">
        <f>C11+(C12*C13)</f>
        <v>4.1409722812601163E-2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1.84</v>
      </c>
      <c r="R14" s="31"/>
    </row>
    <row r="15" spans="2:18" ht="19" x14ac:dyDescent="0.25">
      <c r="B15" s="1" t="s">
        <v>36</v>
      </c>
      <c r="C15" s="39">
        <f>C10*(1+C14)</f>
        <v>39.292388841719436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f>IF(Q15="Sell",0,1)</f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10.27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30.2</v>
      </c>
      <c r="R17" s="42">
        <f>IF(Q16&lt;Q17,0,1)</f>
        <v>0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John Wiley &amp; Sons</v>
      </c>
      <c r="J18" s="34" t="s">
        <v>45</v>
      </c>
      <c r="K18" s="34" t="str">
        <f>_xlfn.CONCAT("Precio ",C6)</f>
        <v>Precio NYSE</v>
      </c>
      <c r="L18" s="34" t="s">
        <v>46</v>
      </c>
      <c r="M18" s="1"/>
      <c r="N18" s="21"/>
      <c r="O18" s="22"/>
      <c r="P18" s="23" t="s">
        <v>47</v>
      </c>
      <c r="Q18" s="137">
        <f>C14</f>
        <v>4.1409722812601163E-2</v>
      </c>
      <c r="R18" s="25"/>
    </row>
    <row r="19" spans="2:18" x14ac:dyDescent="0.2">
      <c r="B19" s="46">
        <v>45108</v>
      </c>
      <c r="C19">
        <v>37.159999999999997</v>
      </c>
      <c r="D19" s="47">
        <v>5.2699999999999997E-2</v>
      </c>
      <c r="E19" s="1"/>
      <c r="F19" s="1"/>
      <c r="G19" s="1"/>
      <c r="H19" s="1"/>
      <c r="I19" s="8">
        <f>C19</f>
        <v>37.159999999999997</v>
      </c>
      <c r="J19" s="8"/>
      <c r="K19" s="48">
        <v>16000.4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37.17</v>
      </c>
      <c r="D20" s="47">
        <v>5.28E-2</v>
      </c>
      <c r="E20" s="52">
        <f>C20/C19-1</f>
        <v>2.6910656620038331E-4</v>
      </c>
      <c r="F20" s="53">
        <f>D20/365*28</f>
        <v>4.0504109589041097E-3</v>
      </c>
      <c r="G20" s="51">
        <f>E20-F20</f>
        <v>-3.7813043927037264E-3</v>
      </c>
      <c r="H20" s="1"/>
      <c r="I20" s="8">
        <f t="shared" ref="I20:I41" si="0">C20</f>
        <v>37.17</v>
      </c>
      <c r="J20" s="52">
        <f>I20/I19-1</f>
        <v>2.6910656620038331E-4</v>
      </c>
      <c r="K20" s="48">
        <v>15398.2</v>
      </c>
      <c r="L20" s="52">
        <f>K20/K19-1</f>
        <v>-3.7636559086022814E-2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30.27</v>
      </c>
      <c r="D21" s="47">
        <v>5.2900000000000003E-2</v>
      </c>
      <c r="E21" s="52">
        <f t="shared" ref="E21:E41" si="1">C21/C20-1</f>
        <v>-0.18563357546408399</v>
      </c>
      <c r="F21" s="53">
        <f t="shared" ref="F21:F41" si="2">D21/365*28</f>
        <v>4.0580821917808214E-3</v>
      </c>
      <c r="G21" s="51">
        <f t="shared" ref="G21:G41" si="3">E21-F21</f>
        <v>-0.18969165765586482</v>
      </c>
      <c r="H21" s="1"/>
      <c r="I21" s="8">
        <f t="shared" si="0"/>
        <v>30.27</v>
      </c>
      <c r="J21" s="52">
        <f t="shared" ref="J21:J41" si="4">I21/I20-1</f>
        <v>-0.18563357546408399</v>
      </c>
      <c r="K21" s="48">
        <v>14919.2</v>
      </c>
      <c r="L21" s="52">
        <f t="shared" ref="L21:L41" si="5">K21/K20-1</f>
        <v>-3.1107532049200581E-2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30.21</v>
      </c>
      <c r="D22" s="47">
        <v>5.2900000000000003E-2</v>
      </c>
      <c r="E22" s="52">
        <f t="shared" si="1"/>
        <v>-1.982160555004886E-3</v>
      </c>
      <c r="F22" s="53">
        <f t="shared" si="2"/>
        <v>4.0580821917808214E-3</v>
      </c>
      <c r="G22" s="51">
        <f t="shared" si="3"/>
        <v>-6.0402427467857074E-3</v>
      </c>
      <c r="H22" s="1"/>
      <c r="I22" s="8">
        <f t="shared" si="0"/>
        <v>30.21</v>
      </c>
      <c r="J22" s="52">
        <f t="shared" si="4"/>
        <v>-1.982160555004886E-3</v>
      </c>
      <c r="K22" s="48">
        <v>16088.8</v>
      </c>
      <c r="L22" s="52">
        <f t="shared" si="5"/>
        <v>7.8395624430264155E-2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C23">
        <v>31.74</v>
      </c>
      <c r="D23" s="47">
        <v>5.2900000000000003E-2</v>
      </c>
      <c r="E23" s="52">
        <f t="shared" si="1"/>
        <v>5.064548162859972E-2</v>
      </c>
      <c r="F23" s="53">
        <f t="shared" si="2"/>
        <v>4.0580821917808214E-3</v>
      </c>
      <c r="G23" s="51">
        <f t="shared" si="3"/>
        <v>4.6587399436818902E-2</v>
      </c>
      <c r="H23" s="1"/>
      <c r="I23" s="8">
        <f t="shared" si="0"/>
        <v>31.74</v>
      </c>
      <c r="J23" s="52">
        <f t="shared" si="4"/>
        <v>5.064548162859972E-2</v>
      </c>
      <c r="K23" s="48">
        <v>16852.900000000001</v>
      </c>
      <c r="L23" s="52">
        <f t="shared" si="5"/>
        <v>4.7492665705335613E-2</v>
      </c>
      <c r="M23" s="1"/>
      <c r="N23" s="57" t="s">
        <v>51</v>
      </c>
      <c r="O23" s="58" t="s">
        <v>52</v>
      </c>
      <c r="P23" s="59" t="s">
        <v>44</v>
      </c>
      <c r="Q23" s="128">
        <v>0.89</v>
      </c>
      <c r="R23" s="61">
        <f>IF(Q23&gt;1.1,0,1)</f>
        <v>1</v>
      </c>
    </row>
    <row r="24" spans="2:18" x14ac:dyDescent="0.2">
      <c r="B24" s="46">
        <v>45261</v>
      </c>
      <c r="C24">
        <v>33.840000000000003</v>
      </c>
      <c r="D24" s="47">
        <v>5.33E-2</v>
      </c>
      <c r="E24" s="52">
        <f t="shared" si="1"/>
        <v>6.6162570888468997E-2</v>
      </c>
      <c r="F24" s="53">
        <f t="shared" si="2"/>
        <v>4.0887671232876718E-3</v>
      </c>
      <c r="G24" s="51">
        <f t="shared" si="3"/>
        <v>6.2073803765181325E-2</v>
      </c>
      <c r="H24" s="1"/>
      <c r="I24" s="8">
        <f t="shared" si="0"/>
        <v>33.840000000000003</v>
      </c>
      <c r="J24" s="52">
        <f t="shared" si="4"/>
        <v>6.6162570888468997E-2</v>
      </c>
      <c r="K24" s="48">
        <v>16911.099999999999</v>
      </c>
      <c r="L24" s="52">
        <f t="shared" si="5"/>
        <v>3.4534115790159081E-3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33.35</v>
      </c>
      <c r="D25" s="47">
        <v>5.2699999999999997E-2</v>
      </c>
      <c r="E25" s="52">
        <f t="shared" si="1"/>
        <v>-1.4479905437352336E-2</v>
      </c>
      <c r="F25" s="53">
        <f t="shared" si="2"/>
        <v>4.0427397260273962E-3</v>
      </c>
      <c r="G25" s="51">
        <f t="shared" si="3"/>
        <v>-1.8522645163379731E-2</v>
      </c>
      <c r="H25" s="1"/>
      <c r="I25" s="8">
        <f t="shared" si="0"/>
        <v>33.35</v>
      </c>
      <c r="J25" s="52">
        <f t="shared" si="4"/>
        <v>-1.4479905437352336E-2</v>
      </c>
      <c r="K25" s="48">
        <v>17607.400000000001</v>
      </c>
      <c r="L25" s="52">
        <f t="shared" si="5"/>
        <v>4.1174140061853048E-2</v>
      </c>
      <c r="M25" s="1"/>
      <c r="N25" s="30"/>
      <c r="O25" s="64"/>
      <c r="P25" s="30" t="s">
        <v>23</v>
      </c>
      <c r="Q25" s="84">
        <f>Q10</f>
        <v>50.93</v>
      </c>
      <c r="R25" s="31"/>
    </row>
    <row r="26" spans="2:18" x14ac:dyDescent="0.2">
      <c r="B26" s="46">
        <v>45323</v>
      </c>
      <c r="C26">
        <v>38.130000000000003</v>
      </c>
      <c r="D26" s="47">
        <v>5.2999999999999999E-2</v>
      </c>
      <c r="E26" s="52">
        <f t="shared" si="1"/>
        <v>0.14332833583208404</v>
      </c>
      <c r="F26" s="53">
        <f t="shared" si="2"/>
        <v>4.0657534246575349E-3</v>
      </c>
      <c r="G26" s="51">
        <f t="shared" si="3"/>
        <v>0.13926258240742651</v>
      </c>
      <c r="H26" s="1"/>
      <c r="I26" s="8">
        <f t="shared" si="0"/>
        <v>38.130000000000003</v>
      </c>
      <c r="J26" s="52">
        <f t="shared" si="4"/>
        <v>0.14332833583208404</v>
      </c>
      <c r="K26" s="48">
        <v>18312.7</v>
      </c>
      <c r="L26" s="52">
        <f t="shared" si="5"/>
        <v>4.0057021479605215E-2</v>
      </c>
      <c r="M26" s="1"/>
      <c r="N26" s="49" t="s">
        <v>54</v>
      </c>
      <c r="O26" s="64"/>
      <c r="P26" s="30" t="s">
        <v>55</v>
      </c>
      <c r="Q26" s="132">
        <f>1/Q25</f>
        <v>1.9634792852935401E-2</v>
      </c>
      <c r="R26" s="31">
        <f>IF(Q26&lt;Q19,0,1)</f>
        <v>0</v>
      </c>
    </row>
    <row r="27" spans="2:18" x14ac:dyDescent="0.2">
      <c r="B27" s="46">
        <v>45352</v>
      </c>
      <c r="C27">
        <v>37.57</v>
      </c>
      <c r="D27" s="47">
        <v>5.2900000000000003E-2</v>
      </c>
      <c r="E27" s="52">
        <f t="shared" si="1"/>
        <v>-1.4686598478888091E-2</v>
      </c>
      <c r="F27" s="53">
        <f t="shared" si="2"/>
        <v>4.0580821917808214E-3</v>
      </c>
      <c r="G27" s="51">
        <f t="shared" si="3"/>
        <v>-1.8744680670668912E-2</v>
      </c>
      <c r="H27" s="1"/>
      <c r="I27" s="8">
        <f t="shared" si="0"/>
        <v>37.57</v>
      </c>
      <c r="J27" s="52">
        <f t="shared" si="4"/>
        <v>-1.4686598478888091E-2</v>
      </c>
      <c r="K27" s="48">
        <v>17603.3</v>
      </c>
      <c r="L27" s="52">
        <f t="shared" si="5"/>
        <v>-3.8738143474201014E-2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36.450000000000003</v>
      </c>
      <c r="D28" s="47">
        <v>5.28E-2</v>
      </c>
      <c r="E28" s="52">
        <f t="shared" si="1"/>
        <v>-2.9811019430396546E-2</v>
      </c>
      <c r="F28" s="53">
        <f t="shared" si="2"/>
        <v>4.0504109589041097E-3</v>
      </c>
      <c r="G28" s="51">
        <f t="shared" si="3"/>
        <v>-3.3861430389300659E-2</v>
      </c>
      <c r="H28" s="1"/>
      <c r="I28" s="8">
        <f t="shared" si="0"/>
        <v>36.450000000000003</v>
      </c>
      <c r="J28" s="52">
        <f t="shared" si="4"/>
        <v>-2.9811019430396546E-2</v>
      </c>
      <c r="K28" s="48">
        <v>18083.7</v>
      </c>
      <c r="L28" s="52">
        <f t="shared" si="5"/>
        <v>2.7290337607153381E-2</v>
      </c>
      <c r="M28" s="1"/>
      <c r="N28" s="30"/>
      <c r="O28" s="1"/>
      <c r="P28" s="30" t="s">
        <v>57</v>
      </c>
      <c r="Q28" s="51">
        <f>Q18</f>
        <v>4.1409722812601163E-2</v>
      </c>
      <c r="R28" s="31"/>
    </row>
    <row r="29" spans="2:18" x14ac:dyDescent="0.2">
      <c r="B29" s="46">
        <v>45413</v>
      </c>
      <c r="C29">
        <v>40.700000000000003</v>
      </c>
      <c r="D29" s="47">
        <v>5.2699999999999997E-2</v>
      </c>
      <c r="E29" s="52">
        <f t="shared" si="1"/>
        <v>0.11659807956104262</v>
      </c>
      <c r="F29" s="53">
        <f t="shared" si="2"/>
        <v>4.0427397260273962E-3</v>
      </c>
      <c r="G29" s="51">
        <f t="shared" si="3"/>
        <v>0.11255533983501523</v>
      </c>
      <c r="H29" s="1"/>
      <c r="I29" s="8">
        <f t="shared" si="0"/>
        <v>40.700000000000003</v>
      </c>
      <c r="J29" s="52">
        <f t="shared" si="4"/>
        <v>0.11659807956104262</v>
      </c>
      <c r="K29" s="48">
        <v>18026.5</v>
      </c>
      <c r="L29" s="52">
        <f t="shared" si="5"/>
        <v>-3.1630695045815616E-3</v>
      </c>
      <c r="M29" s="1"/>
      <c r="N29" s="49" t="s">
        <v>117</v>
      </c>
      <c r="O29" s="1"/>
      <c r="P29" s="30" t="s">
        <v>58</v>
      </c>
      <c r="Q29" s="67">
        <v>-0.12130000000000001</v>
      </c>
      <c r="R29" s="31"/>
    </row>
    <row r="30" spans="2:18" ht="17" thickBot="1" x14ac:dyDescent="0.25">
      <c r="B30" s="46">
        <v>45444</v>
      </c>
      <c r="C30">
        <v>47.75</v>
      </c>
      <c r="D30" s="47">
        <v>5.2699999999999997E-2</v>
      </c>
      <c r="E30" s="52">
        <f t="shared" si="1"/>
        <v>0.17321867321867312</v>
      </c>
      <c r="F30" s="53">
        <f t="shared" si="2"/>
        <v>4.0427397260273962E-3</v>
      </c>
      <c r="G30" s="51">
        <f t="shared" si="3"/>
        <v>0.16917593349264573</v>
      </c>
      <c r="I30" s="8">
        <f t="shared" si="0"/>
        <v>47.75</v>
      </c>
      <c r="J30" s="52">
        <f t="shared" si="4"/>
        <v>0.17321867321867312</v>
      </c>
      <c r="K30" s="48">
        <v>18710</v>
      </c>
      <c r="L30" s="52">
        <f t="shared" si="5"/>
        <v>3.7916400854297816E-2</v>
      </c>
      <c r="M30" s="1"/>
      <c r="N30" s="1"/>
      <c r="O30" s="1"/>
      <c r="P30" s="33"/>
      <c r="Q30" s="68">
        <f>Q28-Q29</f>
        <v>0.16270972281260115</v>
      </c>
      <c r="R30" s="31">
        <f>IF(Q28&lt;Q29,0,1)</f>
        <v>1</v>
      </c>
    </row>
    <row r="31" spans="2:18" ht="17" thickBot="1" x14ac:dyDescent="0.25">
      <c r="B31" s="46">
        <v>45474</v>
      </c>
      <c r="C31">
        <v>48.31</v>
      </c>
      <c r="D31" s="47">
        <v>5.28E-2</v>
      </c>
      <c r="E31" s="52">
        <f t="shared" si="1"/>
        <v>1.1727748691099604E-2</v>
      </c>
      <c r="F31" s="53">
        <f t="shared" si="2"/>
        <v>4.0504109589041097E-3</v>
      </c>
      <c r="G31" s="51">
        <f t="shared" si="3"/>
        <v>7.6773377321954946E-3</v>
      </c>
      <c r="H31" s="1"/>
      <c r="I31" s="8">
        <f t="shared" si="0"/>
        <v>48.31</v>
      </c>
      <c r="J31" s="52">
        <f t="shared" si="4"/>
        <v>1.1727748691099604E-2</v>
      </c>
      <c r="K31" s="48">
        <v>19292.2</v>
      </c>
      <c r="L31" s="52">
        <f t="shared" si="5"/>
        <v>3.1117049706039568E-2</v>
      </c>
      <c r="M31" s="1"/>
      <c r="N31" s="1"/>
      <c r="O31" s="1"/>
      <c r="P31" s="30"/>
      <c r="Q31" s="69"/>
      <c r="R31" s="133">
        <f>SUM(R10:R30)/8</f>
        <v>0.375</v>
      </c>
    </row>
    <row r="32" spans="2:18" x14ac:dyDescent="0.2">
      <c r="B32" s="46">
        <v>45505</v>
      </c>
      <c r="C32">
        <v>48.25</v>
      </c>
      <c r="D32" s="47">
        <v>5.1799999999999999E-2</v>
      </c>
      <c r="E32" s="52">
        <f t="shared" si="1"/>
        <v>-1.2419788863590187E-3</v>
      </c>
      <c r="F32" s="53">
        <f t="shared" si="2"/>
        <v>3.9736986301369863E-3</v>
      </c>
      <c r="G32" s="51">
        <f t="shared" si="3"/>
        <v>-5.215677516496005E-3</v>
      </c>
      <c r="H32" s="1"/>
      <c r="I32" s="8">
        <f t="shared" si="0"/>
        <v>48.25</v>
      </c>
      <c r="J32" s="52">
        <f t="shared" si="4"/>
        <v>-1.2419788863590187E-3</v>
      </c>
      <c r="K32" s="48">
        <v>19516.400000000001</v>
      </c>
      <c r="L32" s="52">
        <f t="shared" si="5"/>
        <v>1.1621276992774376E-2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49.3</v>
      </c>
      <c r="D33" s="47">
        <v>4.7399999999999998E-2</v>
      </c>
      <c r="E33" s="52">
        <f t="shared" si="1"/>
        <v>2.1761658031087983E-2</v>
      </c>
      <c r="F33" s="53">
        <f t="shared" si="2"/>
        <v>3.6361643835616433E-3</v>
      </c>
      <c r="G33" s="51">
        <f t="shared" si="3"/>
        <v>1.8125493647526338E-2</v>
      </c>
      <c r="H33" s="1"/>
      <c r="I33" s="8">
        <f t="shared" si="0"/>
        <v>49.3</v>
      </c>
      <c r="J33" s="52">
        <f t="shared" si="4"/>
        <v>2.1761658031087983E-2</v>
      </c>
      <c r="K33" s="48">
        <v>19239</v>
      </c>
      <c r="L33" s="52">
        <f t="shared" si="5"/>
        <v>-1.4213686950462212E-2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52.18</v>
      </c>
      <c r="D34" s="47">
        <v>4.58E-2</v>
      </c>
      <c r="E34" s="52">
        <f t="shared" si="1"/>
        <v>5.8417849898580121E-2</v>
      </c>
      <c r="F34" s="53">
        <f t="shared" si="2"/>
        <v>3.5134246575342465E-3</v>
      </c>
      <c r="G34" s="51">
        <f t="shared" si="3"/>
        <v>5.4904425241045877E-2</v>
      </c>
      <c r="H34" s="1"/>
      <c r="I34" s="8">
        <f t="shared" si="0"/>
        <v>52.18</v>
      </c>
      <c r="J34" s="52">
        <f t="shared" si="4"/>
        <v>5.8417849898580121E-2</v>
      </c>
      <c r="K34" s="48">
        <v>20272</v>
      </c>
      <c r="L34" s="52">
        <f t="shared" si="5"/>
        <v>5.3693019387702101E-2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43.71</v>
      </c>
      <c r="D35" s="47">
        <v>4.5499999999999999E-2</v>
      </c>
      <c r="E35" s="52">
        <f t="shared" si="1"/>
        <v>-0.16232272901494826</v>
      </c>
      <c r="F35" s="53">
        <f t="shared" si="2"/>
        <v>3.4904109589041091E-3</v>
      </c>
      <c r="G35" s="51">
        <f t="shared" si="3"/>
        <v>-0.16581313997385239</v>
      </c>
      <c r="H35" s="1"/>
      <c r="I35" s="8">
        <f t="shared" si="0"/>
        <v>43.71</v>
      </c>
      <c r="J35" s="52">
        <f t="shared" si="4"/>
        <v>-0.16232272901494826</v>
      </c>
      <c r="K35" s="48">
        <v>19097.099999999999</v>
      </c>
      <c r="L35" s="52">
        <f t="shared" si="5"/>
        <v>-5.7956787687450717E-2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40.93</v>
      </c>
      <c r="D36" s="47">
        <v>4.2200000000000001E-2</v>
      </c>
      <c r="E36" s="52">
        <f t="shared" si="1"/>
        <v>-6.3601006634637414E-2</v>
      </c>
      <c r="F36" s="53">
        <f t="shared" si="2"/>
        <v>3.2372602739726029E-3</v>
      </c>
      <c r="G36" s="51">
        <f t="shared" si="3"/>
        <v>-6.6838266908610014E-2</v>
      </c>
      <c r="H36" s="1"/>
      <c r="I36" s="8">
        <f t="shared" si="0"/>
        <v>40.93</v>
      </c>
      <c r="J36" s="52">
        <f t="shared" si="4"/>
        <v>-6.3601006634637414E-2</v>
      </c>
      <c r="K36" s="48">
        <v>19998.8</v>
      </c>
      <c r="L36" s="52">
        <f t="shared" si="5"/>
        <v>4.7216593095286807E-2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39.880000000000003</v>
      </c>
      <c r="D37" s="47">
        <v>4.2599999999999999E-2</v>
      </c>
      <c r="E37" s="52">
        <f t="shared" si="1"/>
        <v>-2.565355484974341E-2</v>
      </c>
      <c r="F37" s="53">
        <f t="shared" si="2"/>
        <v>3.267945205479452E-3</v>
      </c>
      <c r="G37" s="51">
        <f t="shared" si="3"/>
        <v>-2.892150005522286E-2</v>
      </c>
      <c r="H37" s="1"/>
      <c r="I37" s="8">
        <f t="shared" si="0"/>
        <v>39.880000000000003</v>
      </c>
      <c r="J37" s="52">
        <f t="shared" si="4"/>
        <v>-2.565355484974341E-2</v>
      </c>
      <c r="K37" s="48">
        <v>20028.2</v>
      </c>
      <c r="L37" s="52">
        <f t="shared" si="5"/>
        <v>1.4700882052924857E-3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44.56</v>
      </c>
      <c r="D38" s="47">
        <v>4.24E-2</v>
      </c>
      <c r="E38" s="52">
        <f t="shared" si="1"/>
        <v>0.11735205616850553</v>
      </c>
      <c r="F38" s="53">
        <f t="shared" si="2"/>
        <v>3.2526027397260277E-3</v>
      </c>
      <c r="G38" s="51">
        <f t="shared" si="3"/>
        <v>0.1140994534287795</v>
      </c>
      <c r="H38" s="1"/>
      <c r="I38" s="8">
        <f t="shared" si="0"/>
        <v>44.56</v>
      </c>
      <c r="J38" s="52">
        <f t="shared" si="4"/>
        <v>0.11735205616850553</v>
      </c>
      <c r="K38" s="48">
        <v>19395.900000000001</v>
      </c>
      <c r="L38" s="52">
        <f t="shared" si="5"/>
        <v>-3.1570485615282418E-2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43.64</v>
      </c>
      <c r="D39" s="47">
        <v>4.24E-2</v>
      </c>
      <c r="E39" s="52">
        <f t="shared" si="1"/>
        <v>-2.0646319569120331E-2</v>
      </c>
      <c r="F39" s="53">
        <f t="shared" si="2"/>
        <v>3.2526027397260277E-3</v>
      </c>
      <c r="G39" s="51">
        <f t="shared" si="3"/>
        <v>-2.3898922308846358E-2</v>
      </c>
      <c r="H39" s="1"/>
      <c r="I39" s="8">
        <f t="shared" si="0"/>
        <v>43.64</v>
      </c>
      <c r="J39" s="52">
        <f t="shared" si="4"/>
        <v>-2.0646319569120331E-2</v>
      </c>
      <c r="K39" s="48">
        <v>19114.2</v>
      </c>
      <c r="L39" s="52">
        <f t="shared" si="5"/>
        <v>-1.4523687995916745E-2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39.119999999999997</v>
      </c>
      <c r="D40" s="47">
        <v>4.2299999999999997E-2</v>
      </c>
      <c r="E40" s="52">
        <f t="shared" si="1"/>
        <v>-0.10357470210815778</v>
      </c>
      <c r="F40" s="53">
        <f t="shared" si="2"/>
        <v>3.2449315068493151E-3</v>
      </c>
      <c r="G40" s="51">
        <f t="shared" si="3"/>
        <v>-0.1068196336150071</v>
      </c>
      <c r="H40" s="1"/>
      <c r="I40" s="8">
        <f t="shared" si="0"/>
        <v>39.119999999999997</v>
      </c>
      <c r="J40" s="52">
        <f t="shared" si="4"/>
        <v>-0.10357470210815778</v>
      </c>
      <c r="K40" s="48">
        <v>19783.8</v>
      </c>
      <c r="L40" s="52">
        <f t="shared" si="5"/>
        <v>3.5031547226669124E-2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37.729999999999997</v>
      </c>
      <c r="D41" s="47">
        <v>4.2200000000000001E-2</v>
      </c>
      <c r="E41" s="52">
        <f t="shared" si="1"/>
        <v>-3.5531697341513291E-2</v>
      </c>
      <c r="F41" s="53">
        <f t="shared" si="2"/>
        <v>3.2372602739726029E-3</v>
      </c>
      <c r="G41" s="51">
        <f t="shared" si="3"/>
        <v>-3.8768957615485891E-2</v>
      </c>
      <c r="H41" s="1"/>
      <c r="I41" s="8">
        <f t="shared" si="0"/>
        <v>37.729999999999997</v>
      </c>
      <c r="J41" s="52">
        <f t="shared" si="4"/>
        <v>-3.5531697341513291E-2</v>
      </c>
      <c r="K41" s="48">
        <v>19981.099999999999</v>
      </c>
      <c r="L41" s="52">
        <f t="shared" si="5"/>
        <v>9.9728060332191504E-3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7.9744136247321591E-4</v>
      </c>
      <c r="H43" s="1"/>
      <c r="I43" s="1"/>
      <c r="J43" s="1"/>
      <c r="K43" s="48" t="s">
        <v>65</v>
      </c>
      <c r="L43" s="82">
        <f>COVAR(J20:J41,L20:L41)</f>
        <v>9.2812603218927201E-4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1.3119365558916414E-3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0.70744734417319644</v>
      </c>
    </row>
  </sheetData>
  <mergeCells count="1">
    <mergeCell ref="B4:D4"/>
  </mergeCells>
  <conditionalFormatting sqref="S10">
    <cfRule type="expression" dxfId="436" priority="19">
      <formula>IF($Q$10&gt;$Q$11,1,0)</formula>
    </cfRule>
  </conditionalFormatting>
  <conditionalFormatting sqref="Q10">
    <cfRule type="expression" dxfId="435" priority="10">
      <formula>IF($Q$10&lt;$Q$11,1,0)</formula>
    </cfRule>
    <cfRule type="expression" dxfId="434" priority="18">
      <formula>IF($Q$10&gt;$Q$11,1,0)</formula>
    </cfRule>
  </conditionalFormatting>
  <conditionalFormatting sqref="Q12">
    <cfRule type="expression" dxfId="433" priority="9">
      <formula>IF($Q$12&gt;$Q$13,1,0)</formula>
    </cfRule>
    <cfRule type="expression" dxfId="432" priority="17">
      <formula>IF($Q$12&lt;$Q$13,1,0)</formula>
    </cfRule>
  </conditionalFormatting>
  <conditionalFormatting sqref="Q14">
    <cfRule type="expression" dxfId="431" priority="16">
      <formula>IF($Q$15="Sell",1,0)</formula>
    </cfRule>
  </conditionalFormatting>
  <conditionalFormatting sqref="Q14:Q15">
    <cfRule type="expression" dxfId="430" priority="15">
      <formula>IF($Q$15="Buy",1,0)</formula>
    </cfRule>
  </conditionalFormatting>
  <conditionalFormatting sqref="Q16">
    <cfRule type="expression" dxfId="429" priority="13">
      <formula>IF($Q$16&lt;$Q$17,1,0)</formula>
    </cfRule>
    <cfRule type="expression" dxfId="428" priority="14">
      <formula>IF($Q$16&gt;$Q$17,1,0)</formula>
    </cfRule>
  </conditionalFormatting>
  <conditionalFormatting sqref="Q18">
    <cfRule type="expression" dxfId="427" priority="11">
      <formula>IF($Q$18&lt;$Q$19,1,0)</formula>
    </cfRule>
    <cfRule type="expression" dxfId="426" priority="12">
      <formula>IF($Q$18&gt;$Q$19,1,0)</formula>
    </cfRule>
  </conditionalFormatting>
  <conditionalFormatting sqref="Q23">
    <cfRule type="expression" dxfId="425" priority="7">
      <formula>IF($Q$23&lt;1.1,1,0)</formula>
    </cfRule>
    <cfRule type="expression" dxfId="424" priority="8">
      <formula>IF($Q$23&gt;1.1,1,0)</formula>
    </cfRule>
  </conditionalFormatting>
  <conditionalFormatting sqref="Q26">
    <cfRule type="expression" dxfId="423" priority="5">
      <formula>IF($Q$26&lt;$Q$19,1,0)</formula>
    </cfRule>
    <cfRule type="expression" dxfId="422" priority="6">
      <formula>IF($Q$26&gt;$Q$19,1,0)</formula>
    </cfRule>
  </conditionalFormatting>
  <conditionalFormatting sqref="Q30">
    <cfRule type="expression" dxfId="421" priority="3">
      <formula>IF($Q$28&lt;$Q$29,1,0)</formula>
    </cfRule>
    <cfRule type="expression" dxfId="420" priority="4">
      <formula>IF($Q$28&gt;$Q$29,1,0)</formula>
    </cfRule>
  </conditionalFormatting>
  <conditionalFormatting sqref="R31">
    <cfRule type="expression" dxfId="419" priority="1">
      <formula>IF($R$31&lt;0.485,1,0)</formula>
    </cfRule>
    <cfRule type="expression" dxfId="418" priority="2">
      <formula>IF($R$31&gt;0.49,1,0)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44F7C-469B-44F3-BAC0-475D6FD9FB71}">
  <sheetPr codeName="Sheet31"/>
  <dimension ref="B2:R45"/>
  <sheetViews>
    <sheetView zoomScale="85" zoomScaleNormal="85" workbookViewId="0">
      <selection activeCell="G31" sqref="G31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205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206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LEN</v>
      </c>
      <c r="R5" s="8"/>
    </row>
    <row r="6" spans="2:18" x14ac:dyDescent="0.2">
      <c r="B6" s="1" t="s">
        <v>4</v>
      </c>
      <c r="C6" s="1" t="s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NYSE</v>
      </c>
      <c r="R6" s="8"/>
    </row>
    <row r="7" spans="2:18" x14ac:dyDescent="0.2">
      <c r="B7" s="1" t="s">
        <v>7</v>
      </c>
      <c r="C7" s="13">
        <v>45823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108.61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7.54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17.07</v>
      </c>
      <c r="R11" s="31">
        <f>IF(Q10&gt;Q11,0,1)</f>
        <v>1</v>
      </c>
    </row>
    <row r="12" spans="2:18" x14ac:dyDescent="0.2">
      <c r="B12" s="1" t="s">
        <v>26</v>
      </c>
      <c r="C12" s="32">
        <f>Q23</f>
        <v>1.35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2.14</v>
      </c>
      <c r="R12" s="25"/>
    </row>
    <row r="13" spans="2:18" x14ac:dyDescent="0.2">
      <c r="B13" s="1" t="s">
        <v>30</v>
      </c>
      <c r="C13" s="26">
        <f>G43</f>
        <v>-2.247689258008269E-3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1.75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3.7665619501688834E-2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-0.54</v>
      </c>
      <c r="R14" s="31"/>
    </row>
    <row r="15" spans="2:18" ht="19" x14ac:dyDescent="0.25">
      <c r="B15" s="1" t="s">
        <v>36</v>
      </c>
      <c r="C15" s="39">
        <f>C10*(1+C14)</f>
        <v>112.70086293407843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f>IF(Q15="Sell",0,1)</f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3.07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24.41</v>
      </c>
      <c r="R17" s="42">
        <f>IF(Q16&lt;Q17,0,1)</f>
        <v>0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Lennar Corporation</v>
      </c>
      <c r="J18" s="34" t="s">
        <v>45</v>
      </c>
      <c r="K18" s="34" t="str">
        <f>_xlfn.CONCAT("Precio ",C6)</f>
        <v>Precio NYSE</v>
      </c>
      <c r="L18" s="34" t="s">
        <v>46</v>
      </c>
      <c r="M18" s="1"/>
      <c r="N18" s="21"/>
      <c r="O18" s="22"/>
      <c r="P18" s="23" t="s">
        <v>47</v>
      </c>
      <c r="Q18" s="137">
        <f>C14</f>
        <v>3.7665619501688834E-2</v>
      </c>
      <c r="R18" s="25"/>
    </row>
    <row r="19" spans="2:18" x14ac:dyDescent="0.2">
      <c r="B19" s="46">
        <v>45108</v>
      </c>
      <c r="C19">
        <v>114.44</v>
      </c>
      <c r="D19" s="47">
        <v>5.2699999999999997E-2</v>
      </c>
      <c r="E19" s="1"/>
      <c r="F19" s="1"/>
      <c r="G19" s="1"/>
      <c r="H19" s="1"/>
      <c r="I19" s="8">
        <f>C19</f>
        <v>114.44</v>
      </c>
      <c r="J19" s="8"/>
      <c r="K19" s="48">
        <v>16000.4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107.85</v>
      </c>
      <c r="D20" s="47">
        <v>5.28E-2</v>
      </c>
      <c r="E20" s="52">
        <f>C20/C19-1</f>
        <v>-5.7584760573226146E-2</v>
      </c>
      <c r="F20" s="53">
        <f>D20/365*28</f>
        <v>4.0504109589041097E-3</v>
      </c>
      <c r="G20" s="51">
        <f>E20-F20</f>
        <v>-6.1635171532130259E-2</v>
      </c>
      <c r="H20" s="1"/>
      <c r="I20" s="8">
        <f t="shared" ref="I20:I41" si="0">C20</f>
        <v>107.85</v>
      </c>
      <c r="J20" s="52">
        <f>I20/I19-1</f>
        <v>-5.7584760573226146E-2</v>
      </c>
      <c r="K20" s="48">
        <v>15398.2</v>
      </c>
      <c r="L20" s="52">
        <f>K20/K19-1</f>
        <v>-3.7636559086022814E-2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102.51</v>
      </c>
      <c r="D21" s="47">
        <v>5.2900000000000003E-2</v>
      </c>
      <c r="E21" s="52">
        <f t="shared" ref="E21:E41" si="1">C21/C20-1</f>
        <v>-4.9513212795549322E-2</v>
      </c>
      <c r="F21" s="53">
        <f t="shared" ref="F21:F41" si="2">D21/365*28</f>
        <v>4.0580821917808214E-3</v>
      </c>
      <c r="G21" s="51">
        <f t="shared" ref="G21:G41" si="3">E21-F21</f>
        <v>-5.357129498733014E-2</v>
      </c>
      <c r="H21" s="1"/>
      <c r="I21" s="8">
        <f t="shared" si="0"/>
        <v>102.51</v>
      </c>
      <c r="J21" s="52">
        <f t="shared" ref="J21:J41" si="4">I21/I20-1</f>
        <v>-4.9513212795549322E-2</v>
      </c>
      <c r="K21" s="48">
        <v>14919.2</v>
      </c>
      <c r="L21" s="52">
        <f t="shared" ref="L21:L41" si="5">K21/K20-1</f>
        <v>-3.1107532049200581E-2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122.92</v>
      </c>
      <c r="D22" s="47">
        <v>5.2900000000000003E-2</v>
      </c>
      <c r="E22" s="52">
        <f t="shared" si="1"/>
        <v>0.19910252658277239</v>
      </c>
      <c r="F22" s="53">
        <f t="shared" si="2"/>
        <v>4.0580821917808214E-3</v>
      </c>
      <c r="G22" s="51">
        <f t="shared" si="3"/>
        <v>0.19504444439099156</v>
      </c>
      <c r="H22" s="1"/>
      <c r="I22" s="8">
        <f t="shared" si="0"/>
        <v>122.92</v>
      </c>
      <c r="J22" s="52">
        <f t="shared" si="4"/>
        <v>0.19910252658277239</v>
      </c>
      <c r="K22" s="48">
        <v>16088.8</v>
      </c>
      <c r="L22" s="52">
        <f t="shared" si="5"/>
        <v>7.8395624430264155E-2</v>
      </c>
      <c r="M22" s="1"/>
      <c r="N22" s="28" t="s">
        <v>50</v>
      </c>
      <c r="O22" s="29"/>
      <c r="P22" s="33"/>
      <c r="Q22" s="56"/>
      <c r="R22" s="35">
        <f>IF(Q18&lt;Q19,0,1)</f>
        <v>0</v>
      </c>
    </row>
    <row r="23" spans="2:18" x14ac:dyDescent="0.2">
      <c r="B23" s="46">
        <v>45231</v>
      </c>
      <c r="C23">
        <v>143.22</v>
      </c>
      <c r="D23" s="47">
        <v>5.2900000000000003E-2</v>
      </c>
      <c r="E23" s="52">
        <f t="shared" si="1"/>
        <v>0.16514806378132119</v>
      </c>
      <c r="F23" s="53">
        <f t="shared" si="2"/>
        <v>4.0580821917808214E-3</v>
      </c>
      <c r="G23" s="51">
        <f t="shared" si="3"/>
        <v>0.16108998158954035</v>
      </c>
      <c r="H23" s="1"/>
      <c r="I23" s="8">
        <f t="shared" si="0"/>
        <v>143.22</v>
      </c>
      <c r="J23" s="52">
        <f t="shared" si="4"/>
        <v>0.16514806378132119</v>
      </c>
      <c r="K23" s="48">
        <v>16852.900000000001</v>
      </c>
      <c r="L23" s="52">
        <f t="shared" si="5"/>
        <v>4.7492665705335613E-2</v>
      </c>
      <c r="M23" s="1"/>
      <c r="N23" s="57" t="s">
        <v>51</v>
      </c>
      <c r="O23" s="58" t="s">
        <v>52</v>
      </c>
      <c r="P23" s="59" t="s">
        <v>44</v>
      </c>
      <c r="Q23" s="128">
        <v>1.35</v>
      </c>
      <c r="R23" s="61">
        <f>IF(Q23&gt;1.1,0,1)</f>
        <v>0</v>
      </c>
    </row>
    <row r="24" spans="2:18" x14ac:dyDescent="0.2">
      <c r="B24" s="46">
        <v>45261</v>
      </c>
      <c r="C24">
        <v>144</v>
      </c>
      <c r="D24" s="47">
        <v>5.33E-2</v>
      </c>
      <c r="E24" s="52">
        <f t="shared" si="1"/>
        <v>5.446166736489344E-3</v>
      </c>
      <c r="F24" s="53">
        <f t="shared" si="2"/>
        <v>4.0887671232876718E-3</v>
      </c>
      <c r="G24" s="51">
        <f t="shared" si="3"/>
        <v>1.3573996132016722E-3</v>
      </c>
      <c r="H24" s="1"/>
      <c r="I24" s="8">
        <f t="shared" si="0"/>
        <v>144</v>
      </c>
      <c r="J24" s="52">
        <f t="shared" si="4"/>
        <v>5.446166736489344E-3</v>
      </c>
      <c r="K24" s="48">
        <v>16911.099999999999</v>
      </c>
      <c r="L24" s="52">
        <f t="shared" si="5"/>
        <v>3.4534115790159081E-3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152.32</v>
      </c>
      <c r="D25" s="47">
        <v>5.2699999999999997E-2</v>
      </c>
      <c r="E25" s="52">
        <f t="shared" si="1"/>
        <v>5.7777777777777706E-2</v>
      </c>
      <c r="F25" s="53">
        <f t="shared" si="2"/>
        <v>4.0427397260273962E-3</v>
      </c>
      <c r="G25" s="51">
        <f t="shared" si="3"/>
        <v>5.3735038051750311E-2</v>
      </c>
      <c r="H25" s="1"/>
      <c r="I25" s="8">
        <f t="shared" si="0"/>
        <v>152.32</v>
      </c>
      <c r="J25" s="52">
        <f t="shared" si="4"/>
        <v>5.7777777777777706E-2</v>
      </c>
      <c r="K25" s="48">
        <v>17607.400000000001</v>
      </c>
      <c r="L25" s="52">
        <f t="shared" si="5"/>
        <v>4.1174140061853048E-2</v>
      </c>
      <c r="M25" s="1"/>
      <c r="N25" s="30"/>
      <c r="O25" s="64"/>
      <c r="P25" s="30" t="s">
        <v>23</v>
      </c>
      <c r="Q25" s="84">
        <f>Q10</f>
        <v>7.54</v>
      </c>
      <c r="R25" s="31"/>
    </row>
    <row r="26" spans="2:18" x14ac:dyDescent="0.2">
      <c r="B26" s="46">
        <v>45323</v>
      </c>
      <c r="C26">
        <v>165.26</v>
      </c>
      <c r="D26" s="47">
        <v>5.2999999999999999E-2</v>
      </c>
      <c r="E26" s="52">
        <f t="shared" si="1"/>
        <v>8.4952731092436951E-2</v>
      </c>
      <c r="F26" s="53">
        <f t="shared" si="2"/>
        <v>4.0657534246575349E-3</v>
      </c>
      <c r="G26" s="51">
        <f t="shared" si="3"/>
        <v>8.0886977667779414E-2</v>
      </c>
      <c r="H26" s="1"/>
      <c r="I26" s="8">
        <f t="shared" si="0"/>
        <v>165.26</v>
      </c>
      <c r="J26" s="52">
        <f t="shared" si="4"/>
        <v>8.4952731092436951E-2</v>
      </c>
      <c r="K26" s="48">
        <v>18312.7</v>
      </c>
      <c r="L26" s="52">
        <f t="shared" si="5"/>
        <v>4.0057021479605215E-2</v>
      </c>
      <c r="M26" s="1"/>
      <c r="N26" s="49" t="s">
        <v>54</v>
      </c>
      <c r="O26" s="64"/>
      <c r="P26" s="30" t="s">
        <v>55</v>
      </c>
      <c r="Q26" s="132">
        <f>1/Q25</f>
        <v>0.13262599469496023</v>
      </c>
      <c r="R26" s="31">
        <f>IF(Q26&lt;Q19,0,1)</f>
        <v>1</v>
      </c>
    </row>
    <row r="27" spans="2:18" x14ac:dyDescent="0.2">
      <c r="B27" s="46">
        <v>45352</v>
      </c>
      <c r="C27">
        <v>145.69999999999999</v>
      </c>
      <c r="D27" s="47">
        <v>5.2900000000000003E-2</v>
      </c>
      <c r="E27" s="52">
        <f t="shared" si="1"/>
        <v>-0.11835894953406756</v>
      </c>
      <c r="F27" s="53">
        <f t="shared" si="2"/>
        <v>4.0580821917808214E-3</v>
      </c>
      <c r="G27" s="51">
        <f t="shared" si="3"/>
        <v>-0.12241703172584838</v>
      </c>
      <c r="H27" s="1"/>
      <c r="I27" s="8">
        <f t="shared" si="0"/>
        <v>145.69999999999999</v>
      </c>
      <c r="J27" s="52">
        <f t="shared" si="4"/>
        <v>-0.11835894953406756</v>
      </c>
      <c r="K27" s="48">
        <v>17603.3</v>
      </c>
      <c r="L27" s="52">
        <f t="shared" si="5"/>
        <v>-3.8738143474201014E-2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154.09</v>
      </c>
      <c r="D28" s="47">
        <v>5.28E-2</v>
      </c>
      <c r="E28" s="52">
        <f t="shared" si="1"/>
        <v>5.7584076870281553E-2</v>
      </c>
      <c r="F28" s="53">
        <f t="shared" si="2"/>
        <v>4.0504109589041097E-3</v>
      </c>
      <c r="G28" s="51">
        <f t="shared" si="3"/>
        <v>5.353366591137744E-2</v>
      </c>
      <c r="H28" s="1"/>
      <c r="I28" s="8">
        <f t="shared" si="0"/>
        <v>154.09</v>
      </c>
      <c r="J28" s="52">
        <f t="shared" si="4"/>
        <v>5.7584076870281553E-2</v>
      </c>
      <c r="K28" s="48">
        <v>18083.7</v>
      </c>
      <c r="L28" s="52">
        <f t="shared" si="5"/>
        <v>2.7290337607153381E-2</v>
      </c>
      <c r="M28" s="1"/>
      <c r="N28" s="30"/>
      <c r="O28" s="1"/>
      <c r="P28" s="30" t="s">
        <v>57</v>
      </c>
      <c r="Q28" s="51">
        <f>Q18</f>
        <v>3.7665619501688834E-2</v>
      </c>
      <c r="R28" s="31"/>
    </row>
    <row r="29" spans="2:18" x14ac:dyDescent="0.2">
      <c r="B29" s="46">
        <v>45413</v>
      </c>
      <c r="C29">
        <v>144.01</v>
      </c>
      <c r="D29" s="47">
        <v>5.2699999999999997E-2</v>
      </c>
      <c r="E29" s="52">
        <f t="shared" si="1"/>
        <v>-6.541631514050239E-2</v>
      </c>
      <c r="F29" s="53">
        <f t="shared" si="2"/>
        <v>4.0427397260273962E-3</v>
      </c>
      <c r="G29" s="51">
        <f t="shared" si="3"/>
        <v>-6.9459054866529785E-2</v>
      </c>
      <c r="H29" s="1"/>
      <c r="I29" s="8">
        <f t="shared" si="0"/>
        <v>144.01</v>
      </c>
      <c r="J29" s="52">
        <f t="shared" si="4"/>
        <v>-6.541631514050239E-2</v>
      </c>
      <c r="K29" s="48">
        <v>18026.5</v>
      </c>
      <c r="L29" s="52">
        <f t="shared" si="5"/>
        <v>-3.1630695045815616E-3</v>
      </c>
      <c r="M29" s="1"/>
      <c r="N29" s="49" t="s">
        <v>117</v>
      </c>
      <c r="O29" s="1"/>
      <c r="P29" s="30" t="s">
        <v>58</v>
      </c>
      <c r="Q29" s="67">
        <v>-3.3500000000000002E-2</v>
      </c>
      <c r="R29" s="31"/>
    </row>
    <row r="30" spans="2:18" ht="17" thickBot="1" x14ac:dyDescent="0.25">
      <c r="B30" s="46">
        <v>45444</v>
      </c>
      <c r="C30">
        <v>170.02</v>
      </c>
      <c r="D30" s="47">
        <v>5.2699999999999997E-2</v>
      </c>
      <c r="E30" s="52">
        <f t="shared" si="1"/>
        <v>0.18061245746823151</v>
      </c>
      <c r="F30" s="53">
        <f t="shared" si="2"/>
        <v>4.0427397260273962E-3</v>
      </c>
      <c r="G30" s="51">
        <f t="shared" si="3"/>
        <v>0.17656971774220412</v>
      </c>
      <c r="I30" s="8">
        <f t="shared" si="0"/>
        <v>170.02</v>
      </c>
      <c r="J30" s="52">
        <f t="shared" si="4"/>
        <v>0.18061245746823151</v>
      </c>
      <c r="K30" s="48">
        <v>18710</v>
      </c>
      <c r="L30" s="52">
        <f t="shared" si="5"/>
        <v>3.7916400854297816E-2</v>
      </c>
      <c r="M30" s="1"/>
      <c r="N30" s="1"/>
      <c r="O30" s="1"/>
      <c r="P30" s="33"/>
      <c r="Q30" s="68">
        <f>Q28-Q29</f>
        <v>7.1165619501688843E-2</v>
      </c>
      <c r="R30" s="31">
        <f>IF(Q28&lt;Q29,0,1)</f>
        <v>1</v>
      </c>
    </row>
    <row r="31" spans="2:18" ht="17" thickBot="1" x14ac:dyDescent="0.25">
      <c r="B31" s="46">
        <v>45474</v>
      </c>
      <c r="C31">
        <v>174.95</v>
      </c>
      <c r="D31" s="47">
        <v>5.28E-2</v>
      </c>
      <c r="E31" s="52">
        <f t="shared" si="1"/>
        <v>2.8996588636630793E-2</v>
      </c>
      <c r="F31" s="53">
        <f t="shared" si="2"/>
        <v>4.0504109589041097E-3</v>
      </c>
      <c r="G31" s="51">
        <f t="shared" si="3"/>
        <v>2.4946177677726684E-2</v>
      </c>
      <c r="H31" s="1"/>
      <c r="I31" s="8">
        <f t="shared" si="0"/>
        <v>174.95</v>
      </c>
      <c r="J31" s="52">
        <f t="shared" si="4"/>
        <v>2.8996588636630793E-2</v>
      </c>
      <c r="K31" s="48">
        <v>19292.2</v>
      </c>
      <c r="L31" s="52">
        <f t="shared" si="5"/>
        <v>3.1117049706039568E-2</v>
      </c>
      <c r="M31" s="1"/>
      <c r="N31" s="1"/>
      <c r="O31" s="1"/>
      <c r="P31" s="30"/>
      <c r="Q31" s="69"/>
      <c r="R31" s="133">
        <f>SUM(R10:R30)/8</f>
        <v>0.5</v>
      </c>
    </row>
    <row r="32" spans="2:18" x14ac:dyDescent="0.2">
      <c r="B32" s="46">
        <v>45505</v>
      </c>
      <c r="C32">
        <v>180.16</v>
      </c>
      <c r="D32" s="47">
        <v>5.1799999999999999E-2</v>
      </c>
      <c r="E32" s="52">
        <f t="shared" si="1"/>
        <v>2.9779937124892797E-2</v>
      </c>
      <c r="F32" s="53">
        <f t="shared" si="2"/>
        <v>3.9736986301369863E-3</v>
      </c>
      <c r="G32" s="51">
        <f t="shared" si="3"/>
        <v>2.5806238494755811E-2</v>
      </c>
      <c r="H32" s="1"/>
      <c r="I32" s="8">
        <f t="shared" si="0"/>
        <v>180.16</v>
      </c>
      <c r="J32" s="52">
        <f t="shared" si="4"/>
        <v>2.9779937124892797E-2</v>
      </c>
      <c r="K32" s="48">
        <v>19516.400000000001</v>
      </c>
      <c r="L32" s="52">
        <f t="shared" si="5"/>
        <v>1.1621276992774376E-2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163.65</v>
      </c>
      <c r="D33" s="47">
        <v>4.7399999999999998E-2</v>
      </c>
      <c r="E33" s="52">
        <f t="shared" si="1"/>
        <v>-9.1640763765541644E-2</v>
      </c>
      <c r="F33" s="53">
        <f t="shared" si="2"/>
        <v>3.6361643835616433E-3</v>
      </c>
      <c r="G33" s="51">
        <f t="shared" si="3"/>
        <v>-9.5276928149103282E-2</v>
      </c>
      <c r="H33" s="1"/>
      <c r="I33" s="8">
        <f t="shared" si="0"/>
        <v>163.65</v>
      </c>
      <c r="J33" s="52">
        <f t="shared" si="4"/>
        <v>-9.1640763765541644E-2</v>
      </c>
      <c r="K33" s="48">
        <v>19239</v>
      </c>
      <c r="L33" s="52">
        <f t="shared" si="5"/>
        <v>-1.4213686950462212E-2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167.58</v>
      </c>
      <c r="D34" s="47">
        <v>4.58E-2</v>
      </c>
      <c r="E34" s="52">
        <f t="shared" si="1"/>
        <v>2.4014665444546335E-2</v>
      </c>
      <c r="F34" s="53">
        <f t="shared" si="2"/>
        <v>3.5134246575342465E-3</v>
      </c>
      <c r="G34" s="51">
        <f t="shared" si="3"/>
        <v>2.0501240787012088E-2</v>
      </c>
      <c r="H34" s="1"/>
      <c r="I34" s="8">
        <f t="shared" si="0"/>
        <v>167.58</v>
      </c>
      <c r="J34" s="52">
        <f t="shared" si="4"/>
        <v>2.4014665444546335E-2</v>
      </c>
      <c r="K34" s="48">
        <v>20272</v>
      </c>
      <c r="L34" s="52">
        <f t="shared" si="5"/>
        <v>5.3693019387702101E-2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131.04</v>
      </c>
      <c r="D35" s="47">
        <v>4.5499999999999999E-2</v>
      </c>
      <c r="E35" s="52">
        <f t="shared" si="1"/>
        <v>-0.21804511278195504</v>
      </c>
      <c r="F35" s="53">
        <f t="shared" si="2"/>
        <v>3.4904109589041091E-3</v>
      </c>
      <c r="G35" s="51">
        <f t="shared" si="3"/>
        <v>-0.22153552374085916</v>
      </c>
      <c r="H35" s="1"/>
      <c r="I35" s="8">
        <f t="shared" si="0"/>
        <v>131.04</v>
      </c>
      <c r="J35" s="52">
        <f t="shared" si="4"/>
        <v>-0.21804511278195504</v>
      </c>
      <c r="K35" s="48">
        <v>19097.099999999999</v>
      </c>
      <c r="L35" s="52">
        <f t="shared" si="5"/>
        <v>-5.7956787687450717E-2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131.24</v>
      </c>
      <c r="D36" s="47">
        <v>4.2200000000000001E-2</v>
      </c>
      <c r="E36" s="52">
        <f t="shared" si="1"/>
        <v>1.5262515262517429E-3</v>
      </c>
      <c r="F36" s="53">
        <f t="shared" si="2"/>
        <v>3.2372602739726029E-3</v>
      </c>
      <c r="G36" s="51">
        <f t="shared" si="3"/>
        <v>-1.71100874772086E-3</v>
      </c>
      <c r="H36" s="1"/>
      <c r="I36" s="8">
        <f t="shared" si="0"/>
        <v>131.24</v>
      </c>
      <c r="J36" s="52">
        <f t="shared" si="4"/>
        <v>1.5262515262517429E-3</v>
      </c>
      <c r="K36" s="48">
        <v>19998.8</v>
      </c>
      <c r="L36" s="52">
        <f t="shared" si="5"/>
        <v>4.7216593095286807E-2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119.63</v>
      </c>
      <c r="D37" s="47">
        <v>4.2599999999999999E-2</v>
      </c>
      <c r="E37" s="52">
        <f t="shared" si="1"/>
        <v>-8.8463882962511509E-2</v>
      </c>
      <c r="F37" s="53">
        <f t="shared" si="2"/>
        <v>3.267945205479452E-3</v>
      </c>
      <c r="G37" s="51">
        <f t="shared" si="3"/>
        <v>-9.1731828167990956E-2</v>
      </c>
      <c r="H37" s="1"/>
      <c r="I37" s="8">
        <f t="shared" si="0"/>
        <v>119.63</v>
      </c>
      <c r="J37" s="52">
        <f t="shared" si="4"/>
        <v>-8.8463882962511509E-2</v>
      </c>
      <c r="K37" s="48">
        <v>20028.2</v>
      </c>
      <c r="L37" s="52">
        <f t="shared" si="5"/>
        <v>1.4700882052924857E-3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114.78</v>
      </c>
      <c r="D38" s="47">
        <v>4.24E-2</v>
      </c>
      <c r="E38" s="52">
        <f t="shared" si="1"/>
        <v>-4.0541670149627951E-2</v>
      </c>
      <c r="F38" s="53">
        <f t="shared" si="2"/>
        <v>3.2526027397260277E-3</v>
      </c>
      <c r="G38" s="51">
        <f t="shared" si="3"/>
        <v>-4.3794272889353981E-2</v>
      </c>
      <c r="H38" s="1"/>
      <c r="I38" s="8">
        <f t="shared" si="0"/>
        <v>114.78</v>
      </c>
      <c r="J38" s="52">
        <f t="shared" si="4"/>
        <v>-4.0541670149627951E-2</v>
      </c>
      <c r="K38" s="48">
        <v>19395.900000000001</v>
      </c>
      <c r="L38" s="52">
        <f t="shared" si="5"/>
        <v>-3.1570485615282418E-2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108.61</v>
      </c>
      <c r="D39" s="47">
        <v>4.24E-2</v>
      </c>
      <c r="E39" s="52">
        <f t="shared" si="1"/>
        <v>-5.3755009583551172E-2</v>
      </c>
      <c r="F39" s="53">
        <f t="shared" si="2"/>
        <v>3.2526027397260277E-3</v>
      </c>
      <c r="G39" s="51">
        <f t="shared" si="3"/>
        <v>-5.7007612323277203E-2</v>
      </c>
      <c r="H39" s="1"/>
      <c r="I39" s="8">
        <f t="shared" si="0"/>
        <v>108.61</v>
      </c>
      <c r="J39" s="52">
        <f t="shared" si="4"/>
        <v>-5.3755009583551172E-2</v>
      </c>
      <c r="K39" s="48">
        <v>19114.2</v>
      </c>
      <c r="L39" s="52">
        <f t="shared" si="5"/>
        <v>-1.4523687995916745E-2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106.08</v>
      </c>
      <c r="D40" s="47">
        <v>4.2299999999999997E-2</v>
      </c>
      <c r="E40" s="52">
        <f t="shared" si="1"/>
        <v>-2.329435595249052E-2</v>
      </c>
      <c r="F40" s="53">
        <f t="shared" si="2"/>
        <v>3.2449315068493151E-3</v>
      </c>
      <c r="G40" s="51">
        <f t="shared" si="3"/>
        <v>-2.6539287459339835E-2</v>
      </c>
      <c r="H40" s="1"/>
      <c r="I40" s="8">
        <f t="shared" si="0"/>
        <v>106.08</v>
      </c>
      <c r="J40" s="52">
        <f t="shared" si="4"/>
        <v>-2.329435595249052E-2</v>
      </c>
      <c r="K40" s="48">
        <v>19783.8</v>
      </c>
      <c r="L40" s="52">
        <f t="shared" si="5"/>
        <v>3.5031547226669124E-2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106.61</v>
      </c>
      <c r="D41" s="47">
        <v>4.2200000000000001E-2</v>
      </c>
      <c r="E41" s="52">
        <f t="shared" si="1"/>
        <v>4.9962292609351255E-3</v>
      </c>
      <c r="F41" s="53">
        <f t="shared" si="2"/>
        <v>3.2372602739726029E-3</v>
      </c>
      <c r="G41" s="51">
        <f t="shared" si="3"/>
        <v>1.7589689869625226E-3</v>
      </c>
      <c r="H41" s="1"/>
      <c r="I41" s="8">
        <f t="shared" si="0"/>
        <v>106.61</v>
      </c>
      <c r="J41" s="52">
        <f t="shared" si="4"/>
        <v>4.9962292609351255E-3</v>
      </c>
      <c r="K41" s="48">
        <v>19981.099999999999</v>
      </c>
      <c r="L41" s="52">
        <f t="shared" si="5"/>
        <v>9.9728060332191504E-3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-2.247689258008269E-3</v>
      </c>
      <c r="H43" s="1"/>
      <c r="I43" s="1"/>
      <c r="J43" s="1"/>
      <c r="K43" s="48" t="s">
        <v>65</v>
      </c>
      <c r="L43" s="82">
        <f>COVAR(J20:J41,L20:L41)</f>
        <v>2.8875873242910893E-3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1.3119365558916414E-3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2.2010114066290165</v>
      </c>
    </row>
  </sheetData>
  <mergeCells count="1">
    <mergeCell ref="B4:D4"/>
  </mergeCells>
  <conditionalFormatting sqref="S10">
    <cfRule type="expression" dxfId="417" priority="19">
      <formula>IF($Q$10&gt;$Q$11,1,0)</formula>
    </cfRule>
  </conditionalFormatting>
  <conditionalFormatting sqref="Q10">
    <cfRule type="expression" dxfId="416" priority="10">
      <formula>IF($Q$10&lt;$Q$11,1,0)</formula>
    </cfRule>
    <cfRule type="expression" dxfId="415" priority="18">
      <formula>IF($Q$10&gt;$Q$11,1,0)</formula>
    </cfRule>
  </conditionalFormatting>
  <conditionalFormatting sqref="Q12">
    <cfRule type="expression" dxfId="414" priority="9">
      <formula>IF($Q$12&gt;$Q$13,1,0)</formula>
    </cfRule>
    <cfRule type="expression" dxfId="413" priority="17">
      <formula>IF($Q$12&lt;$Q$13,1,0)</formula>
    </cfRule>
  </conditionalFormatting>
  <conditionalFormatting sqref="Q14">
    <cfRule type="expression" dxfId="412" priority="16">
      <formula>IF($Q$15="Sell",1,0)</formula>
    </cfRule>
  </conditionalFormatting>
  <conditionalFormatting sqref="Q14:Q15">
    <cfRule type="expression" dxfId="411" priority="15">
      <formula>IF($Q$15="Buy",1,0)</formula>
    </cfRule>
  </conditionalFormatting>
  <conditionalFormatting sqref="Q16">
    <cfRule type="expression" dxfId="410" priority="13">
      <formula>IF($Q$16&lt;$Q$17,1,0)</formula>
    </cfRule>
    <cfRule type="expression" dxfId="409" priority="14">
      <formula>IF($Q$16&gt;$Q$17,1,0)</formula>
    </cfRule>
  </conditionalFormatting>
  <conditionalFormatting sqref="Q18">
    <cfRule type="expression" dxfId="408" priority="11">
      <formula>IF($Q$18&lt;$Q$19,1,0)</formula>
    </cfRule>
    <cfRule type="expression" dxfId="407" priority="12">
      <formula>IF($Q$18&gt;$Q$19,1,0)</formula>
    </cfRule>
  </conditionalFormatting>
  <conditionalFormatting sqref="Q23">
    <cfRule type="expression" dxfId="406" priority="7">
      <formula>IF($Q$23&lt;1.1,1,0)</formula>
    </cfRule>
    <cfRule type="expression" dxfId="405" priority="8">
      <formula>IF($Q$23&gt;1.1,1,0)</formula>
    </cfRule>
  </conditionalFormatting>
  <conditionalFormatting sqref="Q26">
    <cfRule type="expression" dxfId="404" priority="5">
      <formula>IF($Q$26&lt;$Q$19,1,0)</formula>
    </cfRule>
    <cfRule type="expression" dxfId="403" priority="6">
      <formula>IF($Q$26&gt;$Q$19,1,0)</formula>
    </cfRule>
  </conditionalFormatting>
  <conditionalFormatting sqref="Q30">
    <cfRule type="expression" dxfId="402" priority="3">
      <formula>IF($Q$28&lt;$Q$29,1,0)</formula>
    </cfRule>
    <cfRule type="expression" dxfId="401" priority="4">
      <formula>IF($Q$28&gt;$Q$29,1,0)</formula>
    </cfRule>
  </conditionalFormatting>
  <conditionalFormatting sqref="R31">
    <cfRule type="expression" dxfId="400" priority="1">
      <formula>IF($R$31&lt;0.485,1,0)</formula>
    </cfRule>
    <cfRule type="expression" dxfId="399" priority="2">
      <formula>IF($R$31&gt;0.49,1,0)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872A0-B000-441A-9D12-55777A7FB4C8}">
  <sheetPr codeName="Sheet30"/>
  <dimension ref="B2:R45"/>
  <sheetViews>
    <sheetView topLeftCell="L1" zoomScale="85" zoomScaleNormal="85" workbookViewId="0">
      <selection activeCell="R23" sqref="R23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203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202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MU</v>
      </c>
      <c r="R5" s="8"/>
    </row>
    <row r="6" spans="2:18" x14ac:dyDescent="0.2">
      <c r="B6" s="1" t="s">
        <v>4</v>
      </c>
      <c r="C6" s="1" t="s">
        <v>62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NASDAQ</v>
      </c>
      <c r="R6" s="8"/>
    </row>
    <row r="7" spans="2:18" x14ac:dyDescent="0.2">
      <c r="B7" s="1" t="s">
        <v>7</v>
      </c>
      <c r="C7" s="13">
        <v>45822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115.6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27.46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-14.63</v>
      </c>
      <c r="R11" s="31">
        <f>IF(Q10&gt;Q11,0,1)</f>
        <v>0</v>
      </c>
    </row>
    <row r="12" spans="2:18" x14ac:dyDescent="0.2">
      <c r="B12" s="1" t="s">
        <v>26</v>
      </c>
      <c r="C12" s="32">
        <f>Q23</f>
        <v>1.28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1.56</v>
      </c>
      <c r="R12" s="25"/>
    </row>
    <row r="13" spans="2:18" x14ac:dyDescent="0.2">
      <c r="B13" s="1" t="s">
        <v>30</v>
      </c>
      <c r="C13" s="26">
        <f>G43</f>
        <v>2.6321601405438669E-2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1.44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7.4391649798961498E-2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1.03</v>
      </c>
      <c r="R14" s="31"/>
    </row>
    <row r="15" spans="2:18" ht="19" x14ac:dyDescent="0.25">
      <c r="B15" s="1" t="s">
        <v>36</v>
      </c>
      <c r="C15" s="39">
        <f>C10*(1+C14)</f>
        <v>124.19967471675993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118</v>
      </c>
      <c r="R15" s="35">
        <f>IF(Q15="Sell",0,1)</f>
        <v>1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-204.19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62.92</v>
      </c>
      <c r="R17" s="42">
        <f>IF(Q16&lt;Q17,0,1)</f>
        <v>0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Micron Technology Inc</v>
      </c>
      <c r="J18" s="34" t="s">
        <v>45</v>
      </c>
      <c r="K18" s="34" t="str">
        <f>_xlfn.CONCAT("Precio ",C6)</f>
        <v>Precio NASDAQ</v>
      </c>
      <c r="L18" s="34" t="s">
        <v>46</v>
      </c>
      <c r="M18" s="1"/>
      <c r="N18" s="21"/>
      <c r="O18" s="22"/>
      <c r="P18" s="23" t="s">
        <v>47</v>
      </c>
      <c r="Q18" s="137">
        <f>C14</f>
        <v>7.4391649798961498E-2</v>
      </c>
      <c r="R18" s="25"/>
    </row>
    <row r="19" spans="2:18" x14ac:dyDescent="0.2">
      <c r="B19" s="46">
        <v>45108</v>
      </c>
      <c r="C19">
        <v>69.94</v>
      </c>
      <c r="D19" s="47">
        <v>5.2699999999999997E-2</v>
      </c>
      <c r="E19" s="1"/>
      <c r="F19" s="1"/>
      <c r="G19" s="1"/>
      <c r="H19" s="1"/>
      <c r="I19" s="8">
        <f>C19</f>
        <v>69.94</v>
      </c>
      <c r="J19" s="8"/>
      <c r="K19" s="48">
        <v>15501.07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68.03</v>
      </c>
      <c r="D20" s="47">
        <v>5.28E-2</v>
      </c>
      <c r="E20" s="52">
        <f>C20/C19-1</f>
        <v>-2.7309122104661077E-2</v>
      </c>
      <c r="F20" s="53">
        <f>D20/365*28</f>
        <v>4.0504109589041097E-3</v>
      </c>
      <c r="G20" s="51">
        <f>E20-F20</f>
        <v>-3.135953306356519E-2</v>
      </c>
      <c r="H20" s="1"/>
      <c r="I20" s="8">
        <f t="shared" ref="I20:I41" si="0">C20</f>
        <v>68.03</v>
      </c>
      <c r="J20" s="52">
        <f>I20/I19-1</f>
        <v>-2.7309122104661077E-2</v>
      </c>
      <c r="K20" s="48">
        <v>14715.24</v>
      </c>
      <c r="L20" s="52">
        <f>K20/K19-1</f>
        <v>-5.0695210072595032E-2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66.87</v>
      </c>
      <c r="D21" s="47">
        <v>5.2900000000000003E-2</v>
      </c>
      <c r="E21" s="52">
        <f t="shared" ref="E21:E41" si="1">C21/C20-1</f>
        <v>-1.705130089666318E-2</v>
      </c>
      <c r="F21" s="53">
        <f t="shared" ref="F21:F41" si="2">D21/365*28</f>
        <v>4.0580821917808214E-3</v>
      </c>
      <c r="G21" s="51">
        <f t="shared" ref="G21:G41" si="3">E21-F21</f>
        <v>-2.1109383088444001E-2</v>
      </c>
      <c r="H21" s="1"/>
      <c r="I21" s="8">
        <f t="shared" si="0"/>
        <v>66.87</v>
      </c>
      <c r="J21" s="52">
        <f t="shared" ref="J21:J41" si="4">I21/I20-1</f>
        <v>-1.705130089666318E-2</v>
      </c>
      <c r="K21" s="48">
        <v>14409.78</v>
      </c>
      <c r="L21" s="52">
        <f t="shared" ref="L21:L41" si="5">K21/K20-1</f>
        <v>-2.0758071224118657E-2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76.12</v>
      </c>
      <c r="D22" s="47">
        <v>5.2900000000000003E-2</v>
      </c>
      <c r="E22" s="52">
        <f t="shared" si="1"/>
        <v>0.13832809929714363</v>
      </c>
      <c r="F22" s="53">
        <f t="shared" si="2"/>
        <v>4.0580821917808214E-3</v>
      </c>
      <c r="G22" s="51">
        <f t="shared" si="3"/>
        <v>0.13427001710536279</v>
      </c>
      <c r="H22" s="1"/>
      <c r="I22" s="8">
        <f t="shared" si="0"/>
        <v>76.12</v>
      </c>
      <c r="J22" s="52">
        <f t="shared" si="4"/>
        <v>0.13832809929714363</v>
      </c>
      <c r="K22" s="48">
        <v>15947.87</v>
      </c>
      <c r="L22" s="52">
        <f t="shared" si="5"/>
        <v>0.10673931177297646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C23">
        <v>85.34</v>
      </c>
      <c r="D23" s="47">
        <v>5.2900000000000003E-2</v>
      </c>
      <c r="E23" s="52">
        <f t="shared" si="1"/>
        <v>0.12112454019968477</v>
      </c>
      <c r="F23" s="53">
        <f t="shared" si="2"/>
        <v>4.0580821917808214E-3</v>
      </c>
      <c r="G23" s="51">
        <f t="shared" si="3"/>
        <v>0.11706645800790395</v>
      </c>
      <c r="H23" s="1"/>
      <c r="I23" s="8">
        <f t="shared" si="0"/>
        <v>85.34</v>
      </c>
      <c r="J23" s="52">
        <f t="shared" si="4"/>
        <v>0.12112454019968477</v>
      </c>
      <c r="K23" s="48">
        <v>16825.93</v>
      </c>
      <c r="L23" s="52">
        <f t="shared" si="5"/>
        <v>5.5058136290300874E-2</v>
      </c>
      <c r="M23" s="1"/>
      <c r="N23" s="57" t="s">
        <v>51</v>
      </c>
      <c r="O23" s="58" t="s">
        <v>52</v>
      </c>
      <c r="P23" s="59" t="s">
        <v>44</v>
      </c>
      <c r="Q23" s="128">
        <v>1.28</v>
      </c>
      <c r="R23" s="61">
        <f>IF(Q23&gt;1.1,0,1)</f>
        <v>0</v>
      </c>
    </row>
    <row r="24" spans="2:18" x14ac:dyDescent="0.2">
      <c r="B24" s="46">
        <v>45261</v>
      </c>
      <c r="C24">
        <v>85.75</v>
      </c>
      <c r="D24" s="47">
        <v>5.33E-2</v>
      </c>
      <c r="E24" s="52">
        <f t="shared" si="1"/>
        <v>4.8043121631122787E-3</v>
      </c>
      <c r="F24" s="53">
        <f t="shared" si="2"/>
        <v>4.0887671232876718E-3</v>
      </c>
      <c r="G24" s="51">
        <f t="shared" si="3"/>
        <v>7.1554503982460688E-4</v>
      </c>
      <c r="H24" s="1"/>
      <c r="I24" s="8">
        <f t="shared" si="0"/>
        <v>85.75</v>
      </c>
      <c r="J24" s="52">
        <f t="shared" si="4"/>
        <v>4.8043121631122787E-3</v>
      </c>
      <c r="K24" s="48">
        <v>17137.240000000002</v>
      </c>
      <c r="L24" s="52">
        <f t="shared" si="5"/>
        <v>1.8501800494831633E-2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90.61</v>
      </c>
      <c r="D25" s="47">
        <v>5.2699999999999997E-2</v>
      </c>
      <c r="E25" s="52">
        <f t="shared" si="1"/>
        <v>5.6676384839650096E-2</v>
      </c>
      <c r="F25" s="53">
        <f t="shared" si="2"/>
        <v>4.0427397260273962E-3</v>
      </c>
      <c r="G25" s="51">
        <f t="shared" si="3"/>
        <v>5.2633645113622701E-2</v>
      </c>
      <c r="H25" s="1"/>
      <c r="I25" s="8">
        <f t="shared" si="0"/>
        <v>90.61</v>
      </c>
      <c r="J25" s="52">
        <f t="shared" si="4"/>
        <v>5.6676384839650096E-2</v>
      </c>
      <c r="K25" s="48">
        <v>18043.849999999999</v>
      </c>
      <c r="L25" s="52">
        <f t="shared" si="5"/>
        <v>5.2902917856084031E-2</v>
      </c>
      <c r="M25" s="1"/>
      <c r="N25" s="30"/>
      <c r="O25" s="64"/>
      <c r="P25" s="30" t="s">
        <v>23</v>
      </c>
      <c r="Q25" s="84">
        <f>Q10</f>
        <v>27.46</v>
      </c>
      <c r="R25" s="31"/>
    </row>
    <row r="26" spans="2:18" x14ac:dyDescent="0.2">
      <c r="B26" s="46">
        <v>45323</v>
      </c>
      <c r="C26">
        <v>117.89</v>
      </c>
      <c r="D26" s="47">
        <v>5.2999999999999999E-2</v>
      </c>
      <c r="E26" s="52">
        <f t="shared" si="1"/>
        <v>0.30107052201743745</v>
      </c>
      <c r="F26" s="53">
        <f t="shared" si="2"/>
        <v>4.0657534246575349E-3</v>
      </c>
      <c r="G26" s="51">
        <f t="shared" si="3"/>
        <v>0.29700476859277991</v>
      </c>
      <c r="H26" s="1"/>
      <c r="I26" s="8">
        <f t="shared" si="0"/>
        <v>117.89</v>
      </c>
      <c r="J26" s="52">
        <f t="shared" si="4"/>
        <v>0.30107052201743745</v>
      </c>
      <c r="K26" s="48">
        <v>18254.689999999999</v>
      </c>
      <c r="L26" s="52">
        <f t="shared" si="5"/>
        <v>1.1684867697304036E-2</v>
      </c>
      <c r="M26" s="1"/>
      <c r="N26" s="49" t="s">
        <v>54</v>
      </c>
      <c r="O26" s="64"/>
      <c r="P26" s="30" t="s">
        <v>55</v>
      </c>
      <c r="Q26" s="132">
        <f>1/Q25</f>
        <v>3.6416605972323379E-2</v>
      </c>
      <c r="R26" s="31">
        <f>IF(Q26&lt;Q19,0,1)</f>
        <v>0</v>
      </c>
    </row>
    <row r="27" spans="2:18" x14ac:dyDescent="0.2">
      <c r="B27" s="46">
        <v>45352</v>
      </c>
      <c r="C27">
        <v>112.96</v>
      </c>
      <c r="D27" s="47">
        <v>5.2900000000000003E-2</v>
      </c>
      <c r="E27" s="52">
        <f t="shared" si="1"/>
        <v>-4.1818644499109436E-2</v>
      </c>
      <c r="F27" s="53">
        <f t="shared" si="2"/>
        <v>4.0580821917808214E-3</v>
      </c>
      <c r="G27" s="51">
        <f t="shared" si="3"/>
        <v>-4.5876726690890254E-2</v>
      </c>
      <c r="H27" s="1"/>
      <c r="I27" s="8">
        <f t="shared" si="0"/>
        <v>112.96</v>
      </c>
      <c r="J27" s="52">
        <f t="shared" si="4"/>
        <v>-4.1818644499109436E-2</v>
      </c>
      <c r="K27" s="48">
        <v>17440.689999999999</v>
      </c>
      <c r="L27" s="52">
        <f t="shared" si="5"/>
        <v>-4.4591280377809794E-2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125</v>
      </c>
      <c r="D28" s="47">
        <v>5.28E-2</v>
      </c>
      <c r="E28" s="52">
        <f t="shared" si="1"/>
        <v>0.10658640226628902</v>
      </c>
      <c r="F28" s="53">
        <f t="shared" si="2"/>
        <v>4.0504109589041097E-3</v>
      </c>
      <c r="G28" s="51">
        <f t="shared" si="3"/>
        <v>0.1025359913073849</v>
      </c>
      <c r="H28" s="1"/>
      <c r="I28" s="8">
        <f t="shared" si="0"/>
        <v>125</v>
      </c>
      <c r="J28" s="52">
        <f t="shared" si="4"/>
        <v>0.10658640226628902</v>
      </c>
      <c r="K28" s="48">
        <v>18536.650000000001</v>
      </c>
      <c r="L28" s="52">
        <f t="shared" si="5"/>
        <v>6.2839256933068688E-2</v>
      </c>
      <c r="M28" s="1"/>
      <c r="N28" s="30"/>
      <c r="O28" s="1"/>
      <c r="P28" s="30" t="s">
        <v>57</v>
      </c>
      <c r="Q28" s="51">
        <f>Q18</f>
        <v>7.4391649798961498E-2</v>
      </c>
      <c r="R28" s="31"/>
    </row>
    <row r="29" spans="2:18" x14ac:dyDescent="0.2">
      <c r="B29" s="46">
        <v>45413</v>
      </c>
      <c r="C29">
        <v>131.53</v>
      </c>
      <c r="D29" s="47">
        <v>5.2699999999999997E-2</v>
      </c>
      <c r="E29" s="52">
        <f t="shared" si="1"/>
        <v>5.2240000000000064E-2</v>
      </c>
      <c r="F29" s="53">
        <f t="shared" si="2"/>
        <v>4.0427397260273962E-3</v>
      </c>
      <c r="G29" s="51">
        <f t="shared" si="3"/>
        <v>4.819726027397267E-2</v>
      </c>
      <c r="H29" s="1"/>
      <c r="I29" s="8">
        <f t="shared" si="0"/>
        <v>131.53</v>
      </c>
      <c r="J29" s="52">
        <f t="shared" si="4"/>
        <v>5.2240000000000064E-2</v>
      </c>
      <c r="K29" s="48">
        <v>19682.87</v>
      </c>
      <c r="L29" s="52">
        <f t="shared" si="5"/>
        <v>6.1835337021522108E-2</v>
      </c>
      <c r="M29" s="1"/>
      <c r="N29" s="49" t="s">
        <v>117</v>
      </c>
      <c r="O29" s="1"/>
      <c r="P29" s="30" t="s">
        <v>58</v>
      </c>
      <c r="Q29" s="67">
        <v>0.19259999999999999</v>
      </c>
      <c r="R29" s="31"/>
    </row>
    <row r="30" spans="2:18" ht="17" thickBot="1" x14ac:dyDescent="0.25">
      <c r="B30" s="46">
        <v>45444</v>
      </c>
      <c r="C30">
        <v>109.82</v>
      </c>
      <c r="D30" s="47">
        <v>5.2699999999999997E-2</v>
      </c>
      <c r="E30" s="52">
        <f t="shared" si="1"/>
        <v>-0.16505740135330349</v>
      </c>
      <c r="F30" s="53">
        <f t="shared" si="2"/>
        <v>4.0427397260273962E-3</v>
      </c>
      <c r="G30" s="51">
        <f t="shared" si="3"/>
        <v>-0.16910014107933088</v>
      </c>
      <c r="I30" s="8">
        <f t="shared" si="0"/>
        <v>109.82</v>
      </c>
      <c r="J30" s="52">
        <f t="shared" si="4"/>
        <v>-0.16505740135330349</v>
      </c>
      <c r="K30" s="48">
        <v>19362.43</v>
      </c>
      <c r="L30" s="52">
        <f t="shared" si="5"/>
        <v>-1.6280146137224838E-2</v>
      </c>
      <c r="M30" s="1"/>
      <c r="N30" s="1"/>
      <c r="O30" s="1"/>
      <c r="P30" s="33"/>
      <c r="Q30" s="68">
        <f>Q28-Q29</f>
        <v>-0.1182083502010385</v>
      </c>
      <c r="R30" s="31">
        <f>IF(Q28&lt;Q29,0,1)</f>
        <v>0</v>
      </c>
    </row>
    <row r="31" spans="2:18" ht="17" thickBot="1" x14ac:dyDescent="0.25">
      <c r="B31" s="46">
        <v>45474</v>
      </c>
      <c r="C31">
        <v>96.24</v>
      </c>
      <c r="D31" s="47">
        <v>5.28E-2</v>
      </c>
      <c r="E31" s="52">
        <f t="shared" si="1"/>
        <v>-0.12365689309779637</v>
      </c>
      <c r="F31" s="53">
        <f t="shared" si="2"/>
        <v>4.0504109589041097E-3</v>
      </c>
      <c r="G31" s="51">
        <f t="shared" si="3"/>
        <v>-0.12770730405670047</v>
      </c>
      <c r="H31" s="1"/>
      <c r="I31" s="8">
        <f t="shared" si="0"/>
        <v>96.24</v>
      </c>
      <c r="J31" s="52">
        <f t="shared" si="4"/>
        <v>-0.12365689309779637</v>
      </c>
      <c r="K31" s="48">
        <v>19574.64</v>
      </c>
      <c r="L31" s="52">
        <f t="shared" si="5"/>
        <v>1.0959884683895416E-2</v>
      </c>
      <c r="M31" s="1"/>
      <c r="N31" s="1"/>
      <c r="O31" s="1"/>
      <c r="P31" s="30"/>
      <c r="Q31" s="69"/>
      <c r="R31" s="133">
        <f>SUM(R10:R30)/8</f>
        <v>0.375</v>
      </c>
    </row>
    <row r="32" spans="2:18" x14ac:dyDescent="0.2">
      <c r="B32" s="46">
        <v>45505</v>
      </c>
      <c r="C32">
        <v>103.71</v>
      </c>
      <c r="D32" s="47">
        <v>5.1799999999999999E-2</v>
      </c>
      <c r="E32" s="52">
        <f t="shared" si="1"/>
        <v>7.7618453865336612E-2</v>
      </c>
      <c r="F32" s="53">
        <f t="shared" si="2"/>
        <v>3.9736986301369863E-3</v>
      </c>
      <c r="G32" s="51">
        <f t="shared" si="3"/>
        <v>7.364475523519963E-2</v>
      </c>
      <c r="H32" s="1"/>
      <c r="I32" s="8">
        <f t="shared" si="0"/>
        <v>103.71</v>
      </c>
      <c r="J32" s="52">
        <f t="shared" si="4"/>
        <v>7.7618453865336612E-2</v>
      </c>
      <c r="K32" s="48">
        <v>20060.689999999999</v>
      </c>
      <c r="L32" s="52">
        <f t="shared" si="5"/>
        <v>2.4830597139972932E-2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99.65</v>
      </c>
      <c r="D33" s="47">
        <v>4.7399999999999998E-2</v>
      </c>
      <c r="E33" s="52">
        <f t="shared" si="1"/>
        <v>-3.9147623180021074E-2</v>
      </c>
      <c r="F33" s="53">
        <f t="shared" si="2"/>
        <v>3.6361643835616433E-3</v>
      </c>
      <c r="G33" s="51">
        <f t="shared" si="3"/>
        <v>-4.2783787563582719E-2</v>
      </c>
      <c r="H33" s="1"/>
      <c r="I33" s="8">
        <f t="shared" si="0"/>
        <v>99.65</v>
      </c>
      <c r="J33" s="52">
        <f t="shared" si="4"/>
        <v>-3.9147623180021074E-2</v>
      </c>
      <c r="K33" s="48">
        <v>19890.41</v>
      </c>
      <c r="L33" s="52">
        <f t="shared" si="5"/>
        <v>-8.4882424283511115E-3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97.95</v>
      </c>
      <c r="D34" s="47">
        <v>4.58E-2</v>
      </c>
      <c r="E34" s="52">
        <f t="shared" si="1"/>
        <v>-1.7059708981435051E-2</v>
      </c>
      <c r="F34" s="53">
        <f t="shared" si="2"/>
        <v>3.5134246575342465E-3</v>
      </c>
      <c r="G34" s="51">
        <f t="shared" si="3"/>
        <v>-2.0573133638969298E-2</v>
      </c>
      <c r="H34" s="1"/>
      <c r="I34" s="8">
        <f t="shared" si="0"/>
        <v>97.95</v>
      </c>
      <c r="J34" s="52">
        <f t="shared" si="4"/>
        <v>-1.7059708981435051E-2</v>
      </c>
      <c r="K34" s="48">
        <v>20930.37</v>
      </c>
      <c r="L34" s="52">
        <f t="shared" si="5"/>
        <v>5.2284492878728939E-2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84.16</v>
      </c>
      <c r="D35" s="47">
        <v>4.5499999999999999E-2</v>
      </c>
      <c r="E35" s="52">
        <f t="shared" si="1"/>
        <v>-0.1407861153649822</v>
      </c>
      <c r="F35" s="53">
        <f t="shared" si="2"/>
        <v>3.4904109589041091E-3</v>
      </c>
      <c r="G35" s="51">
        <f t="shared" si="3"/>
        <v>-0.14427652632388632</v>
      </c>
      <c r="H35" s="1"/>
      <c r="I35" s="8">
        <f t="shared" si="0"/>
        <v>84.16</v>
      </c>
      <c r="J35" s="52">
        <f t="shared" si="4"/>
        <v>-0.1407861153649822</v>
      </c>
      <c r="K35" s="48">
        <v>21012.17</v>
      </c>
      <c r="L35" s="52">
        <f t="shared" si="5"/>
        <v>3.9081965583980249E-3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91.24</v>
      </c>
      <c r="D36" s="47">
        <v>4.2200000000000001E-2</v>
      </c>
      <c r="E36" s="52">
        <f t="shared" si="1"/>
        <v>8.4125475285171003E-2</v>
      </c>
      <c r="F36" s="53">
        <f t="shared" si="2"/>
        <v>3.2372602739726029E-3</v>
      </c>
      <c r="G36" s="51">
        <f t="shared" si="3"/>
        <v>8.0888215011198403E-2</v>
      </c>
      <c r="H36" s="1"/>
      <c r="I36" s="8">
        <f t="shared" si="0"/>
        <v>91.24</v>
      </c>
      <c r="J36" s="52">
        <f t="shared" si="4"/>
        <v>8.4125475285171003E-2</v>
      </c>
      <c r="K36" s="48">
        <v>21478.05</v>
      </c>
      <c r="L36" s="52">
        <f t="shared" si="5"/>
        <v>2.2171912753418566E-2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93.63</v>
      </c>
      <c r="D37" s="47">
        <v>4.2599999999999999E-2</v>
      </c>
      <c r="E37" s="52">
        <f t="shared" si="1"/>
        <v>2.6194651468654184E-2</v>
      </c>
      <c r="F37" s="53">
        <f t="shared" si="2"/>
        <v>3.267945205479452E-3</v>
      </c>
      <c r="G37" s="51">
        <f t="shared" si="3"/>
        <v>2.2926706263174734E-2</v>
      </c>
      <c r="H37" s="1"/>
      <c r="I37" s="8">
        <f t="shared" si="0"/>
        <v>93.63</v>
      </c>
      <c r="J37" s="52">
        <f t="shared" si="4"/>
        <v>2.6194651468654184E-2</v>
      </c>
      <c r="K37" s="48">
        <v>20884.41</v>
      </c>
      <c r="L37" s="52">
        <f t="shared" si="5"/>
        <v>-2.7639380670032909E-2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86.89</v>
      </c>
      <c r="D38" s="47">
        <v>4.24E-2</v>
      </c>
      <c r="E38" s="52">
        <f t="shared" si="1"/>
        <v>-7.1985474741001809E-2</v>
      </c>
      <c r="F38" s="53">
        <f t="shared" si="2"/>
        <v>3.2526027397260277E-3</v>
      </c>
      <c r="G38" s="51">
        <f t="shared" si="3"/>
        <v>-7.5238077480727833E-2</v>
      </c>
      <c r="H38" s="1"/>
      <c r="I38" s="8">
        <f t="shared" si="0"/>
        <v>86.89</v>
      </c>
      <c r="J38" s="52">
        <f t="shared" si="4"/>
        <v>-7.1985474741001809E-2</v>
      </c>
      <c r="K38" s="48">
        <v>19278.45</v>
      </c>
      <c r="L38" s="52">
        <f t="shared" si="5"/>
        <v>-7.6897551810177989E-2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76.95</v>
      </c>
      <c r="D39" s="47">
        <v>4.24E-2</v>
      </c>
      <c r="E39" s="52">
        <f t="shared" si="1"/>
        <v>-0.11439751409828514</v>
      </c>
      <c r="F39" s="53">
        <f t="shared" si="2"/>
        <v>3.2526027397260277E-3</v>
      </c>
      <c r="G39" s="51">
        <f t="shared" si="3"/>
        <v>-0.11765011683801116</v>
      </c>
      <c r="H39" s="1"/>
      <c r="I39" s="8">
        <f t="shared" si="0"/>
        <v>76.95</v>
      </c>
      <c r="J39" s="52">
        <f t="shared" si="4"/>
        <v>-0.11439751409828514</v>
      </c>
      <c r="K39" s="48">
        <v>19571.02</v>
      </c>
      <c r="L39" s="52">
        <f t="shared" si="5"/>
        <v>1.51760125943734E-2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94.46</v>
      </c>
      <c r="D40" s="47">
        <v>4.2299999999999997E-2</v>
      </c>
      <c r="E40" s="52">
        <f t="shared" si="1"/>
        <v>0.22755035737491869</v>
      </c>
      <c r="F40" s="53">
        <f t="shared" si="2"/>
        <v>3.2449315068493151E-3</v>
      </c>
      <c r="G40" s="51">
        <f t="shared" si="3"/>
        <v>0.22430542586806937</v>
      </c>
      <c r="H40" s="1"/>
      <c r="I40" s="8">
        <f t="shared" si="0"/>
        <v>94.46</v>
      </c>
      <c r="J40" s="52">
        <f t="shared" si="4"/>
        <v>0.22755035737491869</v>
      </c>
      <c r="K40" s="48">
        <v>21340.99</v>
      </c>
      <c r="L40" s="52">
        <f t="shared" si="5"/>
        <v>9.04383113399303E-2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115.6</v>
      </c>
      <c r="D41" s="47">
        <v>4.2200000000000001E-2</v>
      </c>
      <c r="E41" s="52">
        <f t="shared" si="1"/>
        <v>0.22379843319923776</v>
      </c>
      <c r="F41" s="53">
        <f t="shared" si="2"/>
        <v>3.2372602739726029E-3</v>
      </c>
      <c r="G41" s="51">
        <f t="shared" si="3"/>
        <v>0.22056117292526514</v>
      </c>
      <c r="H41" s="1"/>
      <c r="I41" s="8">
        <f t="shared" si="0"/>
        <v>115.6</v>
      </c>
      <c r="J41" s="52">
        <f t="shared" si="4"/>
        <v>0.22379843319923776</v>
      </c>
      <c r="K41" s="48">
        <v>21913.32</v>
      </c>
      <c r="L41" s="52">
        <f t="shared" si="5"/>
        <v>2.6818343478910656E-2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2.6321601405438669E-2</v>
      </c>
      <c r="H43" s="1"/>
      <c r="I43" s="1"/>
      <c r="J43" s="1"/>
      <c r="K43" s="48" t="s">
        <v>65</v>
      </c>
      <c r="L43" s="82">
        <f>COVAR(J20:J41,L20:L41)</f>
        <v>2.9130165541167634E-3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2.111160292142152E-3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1.3798178020679728</v>
      </c>
    </row>
  </sheetData>
  <mergeCells count="1">
    <mergeCell ref="B4:D4"/>
  </mergeCells>
  <conditionalFormatting sqref="S10">
    <cfRule type="expression" dxfId="398" priority="19">
      <formula>IF($Q$10&gt;$Q$11,1,0)</formula>
    </cfRule>
  </conditionalFormatting>
  <conditionalFormatting sqref="Q10">
    <cfRule type="expression" dxfId="397" priority="10">
      <formula>IF($Q$10&lt;$Q$11,1,0)</formula>
    </cfRule>
    <cfRule type="expression" dxfId="396" priority="18">
      <formula>IF($Q$10&gt;$Q$11,1,0)</formula>
    </cfRule>
  </conditionalFormatting>
  <conditionalFormatting sqref="Q12">
    <cfRule type="expression" dxfId="395" priority="9">
      <formula>IF($Q$12&gt;$Q$13,1,0)</formula>
    </cfRule>
    <cfRule type="expression" dxfId="394" priority="17">
      <formula>IF($Q$12&lt;$Q$13,1,0)</formula>
    </cfRule>
  </conditionalFormatting>
  <conditionalFormatting sqref="Q14">
    <cfRule type="expression" dxfId="393" priority="16">
      <formula>IF($Q$15="Sell",1,0)</formula>
    </cfRule>
  </conditionalFormatting>
  <conditionalFormatting sqref="Q14:Q15">
    <cfRule type="expression" dxfId="392" priority="15">
      <formula>IF($Q$15="Buy",1,0)</formula>
    </cfRule>
  </conditionalFormatting>
  <conditionalFormatting sqref="Q16">
    <cfRule type="expression" dxfId="391" priority="13">
      <formula>IF($Q$16&lt;$Q$17,1,0)</formula>
    </cfRule>
    <cfRule type="expression" dxfId="390" priority="14">
      <formula>IF($Q$16&gt;$Q$17,1,0)</formula>
    </cfRule>
  </conditionalFormatting>
  <conditionalFormatting sqref="Q18">
    <cfRule type="expression" dxfId="389" priority="11">
      <formula>IF($Q$18&lt;$Q$19,1,0)</formula>
    </cfRule>
    <cfRule type="expression" dxfId="388" priority="12">
      <formula>IF($Q$18&gt;$Q$19,1,0)</formula>
    </cfRule>
  </conditionalFormatting>
  <conditionalFormatting sqref="Q23">
    <cfRule type="expression" dxfId="387" priority="7">
      <formula>IF($Q$23&lt;1.1,1,0)</formula>
    </cfRule>
    <cfRule type="expression" dxfId="386" priority="8">
      <formula>IF($Q$23&gt;1.1,1,0)</formula>
    </cfRule>
  </conditionalFormatting>
  <conditionalFormatting sqref="Q26">
    <cfRule type="expression" dxfId="385" priority="5">
      <formula>IF($Q$26&lt;$Q$19,1,0)</formula>
    </cfRule>
    <cfRule type="expression" dxfId="384" priority="6">
      <formula>IF($Q$26&gt;$Q$19,1,0)</formula>
    </cfRule>
  </conditionalFormatting>
  <conditionalFormatting sqref="Q30">
    <cfRule type="expression" dxfId="383" priority="3">
      <formula>IF($Q$28&lt;$Q$29,1,0)</formula>
    </cfRule>
    <cfRule type="expression" dxfId="382" priority="4">
      <formula>IF($Q$28&gt;$Q$29,1,0)</formula>
    </cfRule>
  </conditionalFormatting>
  <conditionalFormatting sqref="R31">
    <cfRule type="expression" dxfId="381" priority="1">
      <formula>IF($R$31&lt;0.485,1,0)</formula>
    </cfRule>
    <cfRule type="expression" dxfId="380" priority="2">
      <formula>IF($R$31&gt;0.49,1,0)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759A6-15D3-4238-8955-823F95EAEBB8}">
  <sheetPr codeName="Sheet29"/>
  <dimension ref="B2:R45"/>
  <sheetViews>
    <sheetView zoomScale="85" zoomScaleNormal="85" workbookViewId="0">
      <selection activeCell="Q23" sqref="Q23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199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200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MARA</v>
      </c>
      <c r="R5" s="8"/>
    </row>
    <row r="6" spans="2:18" x14ac:dyDescent="0.2">
      <c r="B6" s="1" t="s">
        <v>4</v>
      </c>
      <c r="C6" s="1" t="s">
        <v>62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NASDAQ</v>
      </c>
      <c r="R6" s="8"/>
    </row>
    <row r="7" spans="2:18" x14ac:dyDescent="0.2">
      <c r="B7" s="1" t="s">
        <v>7</v>
      </c>
      <c r="C7" s="13">
        <v>45822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15.04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-14.68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40.86</v>
      </c>
      <c r="R11" s="31">
        <f>IF(Q10&gt;Q11,0,1)</f>
        <v>1</v>
      </c>
    </row>
    <row r="12" spans="2:18" x14ac:dyDescent="0.2">
      <c r="B12" s="1" t="s">
        <v>26</v>
      </c>
      <c r="C12" s="32">
        <f>Q23</f>
        <v>6.63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-1.55</v>
      </c>
      <c r="R12" s="25"/>
    </row>
    <row r="13" spans="2:18" x14ac:dyDescent="0.2">
      <c r="B13" s="1" t="s">
        <v>30</v>
      </c>
      <c r="C13" s="26">
        <f>G43</f>
        <v>4.710885910658387E-2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0.1</v>
      </c>
      <c r="R13" s="35">
        <f>IF(Q12&lt;Q13,0,1)</f>
        <v>0</v>
      </c>
    </row>
    <row r="14" spans="2:18" x14ac:dyDescent="0.2">
      <c r="B14" s="1" t="s">
        <v>32</v>
      </c>
      <c r="C14" s="36">
        <f>C11+(C12*C13)</f>
        <v>0.35303173587665104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-0.27</v>
      </c>
      <c r="R14" s="31"/>
    </row>
    <row r="15" spans="2:18" ht="19" x14ac:dyDescent="0.25">
      <c r="B15" s="1" t="s">
        <v>36</v>
      </c>
      <c r="C15" s="39">
        <f>C10*(1+C14)</f>
        <v>20.34959730758483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f>IF(Q15="Sell",0,1)</f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12.96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44.61</v>
      </c>
      <c r="R17" s="42">
        <f>IF(Q16&lt;Q17,0,1)</f>
        <v>0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Marathon Digital Holdings Inc</v>
      </c>
      <c r="J18" s="34" t="s">
        <v>45</v>
      </c>
      <c r="K18" s="34" t="str">
        <f>_xlfn.CONCAT("Precio ",C6)</f>
        <v>Precio NASDAQ</v>
      </c>
      <c r="L18" s="34" t="s">
        <v>46</v>
      </c>
      <c r="M18" s="1"/>
      <c r="N18" s="21"/>
      <c r="O18" s="22"/>
      <c r="P18" s="23" t="s">
        <v>47</v>
      </c>
      <c r="Q18" s="137">
        <f>C14</f>
        <v>0.35303173587665104</v>
      </c>
      <c r="R18" s="25"/>
    </row>
    <row r="19" spans="2:18" x14ac:dyDescent="0.2">
      <c r="B19" s="46">
        <v>45108</v>
      </c>
      <c r="C19">
        <v>12.57</v>
      </c>
      <c r="D19" s="47">
        <v>5.2699999999999997E-2</v>
      </c>
      <c r="E19" s="1"/>
      <c r="F19" s="1"/>
      <c r="G19" s="1"/>
      <c r="H19" s="1"/>
      <c r="I19" s="8">
        <f>C19</f>
        <v>12.57</v>
      </c>
      <c r="J19" s="8"/>
      <c r="K19" s="48">
        <v>15501.07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8.5</v>
      </c>
      <c r="D20" s="47">
        <v>5.28E-2</v>
      </c>
      <c r="E20" s="52">
        <f>C20/C19-1</f>
        <v>-0.32378679395385845</v>
      </c>
      <c r="F20" s="53">
        <f>D20/365*28</f>
        <v>4.0504109589041097E-3</v>
      </c>
      <c r="G20" s="51">
        <f>E20-F20</f>
        <v>-0.32783720491276258</v>
      </c>
      <c r="H20" s="1"/>
      <c r="I20" s="8">
        <f t="shared" ref="I20:I41" si="0">C20</f>
        <v>8.5</v>
      </c>
      <c r="J20" s="52">
        <f>I20/I19-1</f>
        <v>-0.32378679395385845</v>
      </c>
      <c r="K20" s="48">
        <v>14715.24</v>
      </c>
      <c r="L20" s="52">
        <f>K20/K19-1</f>
        <v>-5.0695210072595032E-2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8.81</v>
      </c>
      <c r="D21" s="47">
        <v>5.2900000000000003E-2</v>
      </c>
      <c r="E21" s="52">
        <f t="shared" ref="E21:E41" si="1">C21/C20-1</f>
        <v>3.6470588235294255E-2</v>
      </c>
      <c r="F21" s="53">
        <f t="shared" ref="F21:F41" si="2">D21/365*28</f>
        <v>4.0580821917808214E-3</v>
      </c>
      <c r="G21" s="51">
        <f t="shared" ref="G21:G41" si="3">E21-F21</f>
        <v>3.2412506043513437E-2</v>
      </c>
      <c r="H21" s="1"/>
      <c r="I21" s="8">
        <f t="shared" si="0"/>
        <v>8.81</v>
      </c>
      <c r="J21" s="52">
        <f t="shared" ref="J21:J41" si="4">I21/I20-1</f>
        <v>3.6470588235294255E-2</v>
      </c>
      <c r="K21" s="48">
        <v>14409.78</v>
      </c>
      <c r="L21" s="52">
        <f t="shared" ref="L21:L41" si="5">K21/K20-1</f>
        <v>-2.0758071224118657E-2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11.97</v>
      </c>
      <c r="D22" s="47">
        <v>5.2900000000000003E-2</v>
      </c>
      <c r="E22" s="52">
        <f t="shared" si="1"/>
        <v>0.3586833144154371</v>
      </c>
      <c r="F22" s="53">
        <f t="shared" si="2"/>
        <v>4.0580821917808214E-3</v>
      </c>
      <c r="G22" s="51">
        <f t="shared" si="3"/>
        <v>0.35462523222365627</v>
      </c>
      <c r="H22" s="1"/>
      <c r="I22" s="8">
        <f t="shared" si="0"/>
        <v>11.97</v>
      </c>
      <c r="J22" s="52">
        <f t="shared" si="4"/>
        <v>0.3586833144154371</v>
      </c>
      <c r="K22" s="48">
        <v>15947.87</v>
      </c>
      <c r="L22" s="52">
        <f t="shared" si="5"/>
        <v>0.10673931177297646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C23">
        <v>23.49</v>
      </c>
      <c r="D23" s="47">
        <v>5.2900000000000003E-2</v>
      </c>
      <c r="E23" s="52">
        <f t="shared" si="1"/>
        <v>0.96240601503759371</v>
      </c>
      <c r="F23" s="53">
        <f t="shared" si="2"/>
        <v>4.0580821917808214E-3</v>
      </c>
      <c r="G23" s="51">
        <f t="shared" si="3"/>
        <v>0.95834793284581288</v>
      </c>
      <c r="H23" s="1"/>
      <c r="I23" s="8">
        <f t="shared" si="0"/>
        <v>23.49</v>
      </c>
      <c r="J23" s="52">
        <f t="shared" si="4"/>
        <v>0.96240601503759371</v>
      </c>
      <c r="K23" s="48">
        <v>16825.93</v>
      </c>
      <c r="L23" s="52">
        <f t="shared" si="5"/>
        <v>5.5058136290300874E-2</v>
      </c>
      <c r="M23" s="1"/>
      <c r="N23" s="57" t="s">
        <v>51</v>
      </c>
      <c r="O23" s="58" t="s">
        <v>52</v>
      </c>
      <c r="P23" s="59" t="s">
        <v>44</v>
      </c>
      <c r="Q23" s="128">
        <v>6.63</v>
      </c>
      <c r="R23" s="61">
        <f>IF(Q23&gt;1.1,0,1)</f>
        <v>0</v>
      </c>
    </row>
    <row r="24" spans="2:18" x14ac:dyDescent="0.2">
      <c r="B24" s="46">
        <v>45261</v>
      </c>
      <c r="C24">
        <v>17.73</v>
      </c>
      <c r="D24" s="47">
        <v>5.33E-2</v>
      </c>
      <c r="E24" s="52">
        <f t="shared" si="1"/>
        <v>-0.24521072796934862</v>
      </c>
      <c r="F24" s="53">
        <f t="shared" si="2"/>
        <v>4.0887671232876718E-3</v>
      </c>
      <c r="G24" s="51">
        <f t="shared" si="3"/>
        <v>-0.2492994950926363</v>
      </c>
      <c r="H24" s="1"/>
      <c r="I24" s="8">
        <f t="shared" si="0"/>
        <v>17.73</v>
      </c>
      <c r="J24" s="52">
        <f t="shared" si="4"/>
        <v>-0.24521072796934862</v>
      </c>
      <c r="K24" s="48">
        <v>17137.240000000002</v>
      </c>
      <c r="L24" s="52">
        <f t="shared" si="5"/>
        <v>1.8501800494831633E-2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25.9</v>
      </c>
      <c r="D25" s="47">
        <v>5.2699999999999997E-2</v>
      </c>
      <c r="E25" s="52">
        <f t="shared" si="1"/>
        <v>0.46080090242526772</v>
      </c>
      <c r="F25" s="53">
        <f t="shared" si="2"/>
        <v>4.0427397260273962E-3</v>
      </c>
      <c r="G25" s="51">
        <f t="shared" si="3"/>
        <v>0.4567581626992403</v>
      </c>
      <c r="H25" s="1"/>
      <c r="I25" s="8">
        <f t="shared" si="0"/>
        <v>25.9</v>
      </c>
      <c r="J25" s="52">
        <f t="shared" si="4"/>
        <v>0.46080090242526772</v>
      </c>
      <c r="K25" s="48">
        <v>18043.849999999999</v>
      </c>
      <c r="L25" s="52">
        <f t="shared" si="5"/>
        <v>5.2902917856084031E-2</v>
      </c>
      <c r="M25" s="1"/>
      <c r="N25" s="30"/>
      <c r="O25" s="64"/>
      <c r="P25" s="30" t="s">
        <v>23</v>
      </c>
      <c r="Q25" s="84">
        <f>Q10</f>
        <v>-14.68</v>
      </c>
      <c r="R25" s="31"/>
    </row>
    <row r="26" spans="2:18" x14ac:dyDescent="0.2">
      <c r="B26" s="46">
        <v>45323</v>
      </c>
      <c r="C26">
        <v>22.58</v>
      </c>
      <c r="D26" s="47">
        <v>5.2999999999999999E-2</v>
      </c>
      <c r="E26" s="52">
        <f t="shared" si="1"/>
        <v>-0.12818532818532824</v>
      </c>
      <c r="F26" s="53">
        <f t="shared" si="2"/>
        <v>4.0657534246575349E-3</v>
      </c>
      <c r="G26" s="51">
        <f t="shared" si="3"/>
        <v>-0.13225108160998578</v>
      </c>
      <c r="H26" s="1"/>
      <c r="I26" s="8">
        <f t="shared" si="0"/>
        <v>22.58</v>
      </c>
      <c r="J26" s="52">
        <f t="shared" si="4"/>
        <v>-0.12818532818532824</v>
      </c>
      <c r="K26" s="48">
        <v>18254.689999999999</v>
      </c>
      <c r="L26" s="52">
        <f t="shared" si="5"/>
        <v>1.1684867697304036E-2</v>
      </c>
      <c r="M26" s="1"/>
      <c r="N26" s="49" t="s">
        <v>54</v>
      </c>
      <c r="O26" s="64"/>
      <c r="P26" s="30" t="s">
        <v>55</v>
      </c>
      <c r="Q26" s="132">
        <f>1/Q25</f>
        <v>-6.8119891008174394E-2</v>
      </c>
      <c r="R26" s="31">
        <f>IF(Q26&lt;Q19,0,1)</f>
        <v>0</v>
      </c>
    </row>
    <row r="27" spans="2:18" x14ac:dyDescent="0.2">
      <c r="B27" s="46">
        <v>45352</v>
      </c>
      <c r="C27">
        <v>16.059999999999999</v>
      </c>
      <c r="D27" s="47">
        <v>5.2900000000000003E-2</v>
      </c>
      <c r="E27" s="52">
        <f t="shared" si="1"/>
        <v>-0.28875110717449071</v>
      </c>
      <c r="F27" s="53">
        <f t="shared" si="2"/>
        <v>4.0580821917808214E-3</v>
      </c>
      <c r="G27" s="51">
        <f t="shared" si="3"/>
        <v>-0.29280918936627154</v>
      </c>
      <c r="H27" s="1"/>
      <c r="I27" s="8">
        <f t="shared" si="0"/>
        <v>16.059999999999999</v>
      </c>
      <c r="J27" s="52">
        <f t="shared" si="4"/>
        <v>-0.28875110717449071</v>
      </c>
      <c r="K27" s="48">
        <v>17440.689999999999</v>
      </c>
      <c r="L27" s="52">
        <f t="shared" si="5"/>
        <v>-4.4591280377809794E-2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19.52</v>
      </c>
      <c r="D28" s="47">
        <v>5.28E-2</v>
      </c>
      <c r="E28" s="52">
        <f t="shared" si="1"/>
        <v>0.21544209215442089</v>
      </c>
      <c r="F28" s="53">
        <f t="shared" si="2"/>
        <v>4.0504109589041097E-3</v>
      </c>
      <c r="G28" s="51">
        <f t="shared" si="3"/>
        <v>0.2113916811955168</v>
      </c>
      <c r="H28" s="1"/>
      <c r="I28" s="8">
        <f t="shared" si="0"/>
        <v>19.52</v>
      </c>
      <c r="J28" s="52">
        <f t="shared" si="4"/>
        <v>0.21544209215442089</v>
      </c>
      <c r="K28" s="48">
        <v>18536.650000000001</v>
      </c>
      <c r="L28" s="52">
        <f t="shared" si="5"/>
        <v>6.2839256933068688E-2</v>
      </c>
      <c r="M28" s="1"/>
      <c r="N28" s="30"/>
      <c r="O28" s="1"/>
      <c r="P28" s="30" t="s">
        <v>57</v>
      </c>
      <c r="Q28" s="51">
        <f>Q18</f>
        <v>0.35303173587665104</v>
      </c>
      <c r="R28" s="31"/>
    </row>
    <row r="29" spans="2:18" x14ac:dyDescent="0.2">
      <c r="B29" s="46">
        <v>45413</v>
      </c>
      <c r="C29">
        <v>19.850000000000001</v>
      </c>
      <c r="D29" s="47">
        <v>5.2699999999999997E-2</v>
      </c>
      <c r="E29" s="52">
        <f t="shared" si="1"/>
        <v>1.6905737704918211E-2</v>
      </c>
      <c r="F29" s="53">
        <f t="shared" si="2"/>
        <v>4.0427397260273962E-3</v>
      </c>
      <c r="G29" s="51">
        <f t="shared" si="3"/>
        <v>1.2862997978890815E-2</v>
      </c>
      <c r="H29" s="1"/>
      <c r="I29" s="8">
        <f t="shared" si="0"/>
        <v>19.850000000000001</v>
      </c>
      <c r="J29" s="52">
        <f t="shared" si="4"/>
        <v>1.6905737704918211E-2</v>
      </c>
      <c r="K29" s="48">
        <v>19682.87</v>
      </c>
      <c r="L29" s="52">
        <f t="shared" si="5"/>
        <v>6.1835337021522108E-2</v>
      </c>
      <c r="M29" s="1"/>
      <c r="N29" s="49" t="s">
        <v>117</v>
      </c>
      <c r="O29" s="1"/>
      <c r="P29" s="30" t="s">
        <v>58</v>
      </c>
      <c r="Q29" s="67">
        <v>-8.1199999999999994E-2</v>
      </c>
      <c r="R29" s="31"/>
    </row>
    <row r="30" spans="2:18" ht="17" thickBot="1" x14ac:dyDescent="0.25">
      <c r="B30" s="46">
        <v>45444</v>
      </c>
      <c r="C30">
        <v>19.670000000000002</v>
      </c>
      <c r="D30" s="47">
        <v>5.2699999999999997E-2</v>
      </c>
      <c r="E30" s="52">
        <f t="shared" si="1"/>
        <v>-9.0680100755667903E-3</v>
      </c>
      <c r="F30" s="53">
        <f t="shared" si="2"/>
        <v>4.0427397260273962E-3</v>
      </c>
      <c r="G30" s="51">
        <f t="shared" si="3"/>
        <v>-1.3110749801594187E-2</v>
      </c>
      <c r="I30" s="8">
        <f t="shared" si="0"/>
        <v>19.670000000000002</v>
      </c>
      <c r="J30" s="52">
        <f t="shared" si="4"/>
        <v>-9.0680100755667903E-3</v>
      </c>
      <c r="K30" s="48">
        <v>19362.43</v>
      </c>
      <c r="L30" s="52">
        <f t="shared" si="5"/>
        <v>-1.6280146137224838E-2</v>
      </c>
      <c r="M30" s="1"/>
      <c r="N30" s="1"/>
      <c r="O30" s="1"/>
      <c r="P30" s="33"/>
      <c r="Q30" s="68">
        <f>Q28-Q29</f>
        <v>0.43423173587665104</v>
      </c>
      <c r="R30" s="31">
        <f>IF(Q28&lt;Q29,0,1)</f>
        <v>1</v>
      </c>
    </row>
    <row r="31" spans="2:18" ht="17" thickBot="1" x14ac:dyDescent="0.25">
      <c r="B31" s="46">
        <v>45474</v>
      </c>
      <c r="C31">
        <v>16.7</v>
      </c>
      <c r="D31" s="47">
        <v>5.28E-2</v>
      </c>
      <c r="E31" s="52">
        <f t="shared" si="1"/>
        <v>-0.1509913573970515</v>
      </c>
      <c r="F31" s="53">
        <f t="shared" si="2"/>
        <v>4.0504109589041097E-3</v>
      </c>
      <c r="G31" s="51">
        <f t="shared" si="3"/>
        <v>-0.15504176835595559</v>
      </c>
      <c r="H31" s="1"/>
      <c r="I31" s="8">
        <f t="shared" si="0"/>
        <v>16.7</v>
      </c>
      <c r="J31" s="52">
        <f t="shared" si="4"/>
        <v>-0.1509913573970515</v>
      </c>
      <c r="K31" s="48">
        <v>19574.64</v>
      </c>
      <c r="L31" s="52">
        <f t="shared" si="5"/>
        <v>1.0959884683895416E-2</v>
      </c>
      <c r="M31" s="1"/>
      <c r="N31" s="1"/>
      <c r="O31" s="1"/>
      <c r="P31" s="30"/>
      <c r="Q31" s="69"/>
      <c r="R31" s="133">
        <f>SUM(R10:R30)/8</f>
        <v>0.375</v>
      </c>
    </row>
    <row r="32" spans="2:18" x14ac:dyDescent="0.2">
      <c r="B32" s="46">
        <v>45505</v>
      </c>
      <c r="C32">
        <v>16.22</v>
      </c>
      <c r="D32" s="47">
        <v>5.1799999999999999E-2</v>
      </c>
      <c r="E32" s="52">
        <f t="shared" si="1"/>
        <v>-2.8742514970059863E-2</v>
      </c>
      <c r="F32" s="53">
        <f t="shared" si="2"/>
        <v>3.9736986301369863E-3</v>
      </c>
      <c r="G32" s="51">
        <f t="shared" si="3"/>
        <v>-3.2716213600196851E-2</v>
      </c>
      <c r="H32" s="1"/>
      <c r="I32" s="8">
        <f t="shared" si="0"/>
        <v>16.22</v>
      </c>
      <c r="J32" s="52">
        <f t="shared" si="4"/>
        <v>-2.8742514970059863E-2</v>
      </c>
      <c r="K32" s="48">
        <v>20060.689999999999</v>
      </c>
      <c r="L32" s="52">
        <f t="shared" si="5"/>
        <v>2.4830597139972932E-2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16.77</v>
      </c>
      <c r="D33" s="47">
        <v>4.7399999999999998E-2</v>
      </c>
      <c r="E33" s="52">
        <f t="shared" si="1"/>
        <v>3.3908754623921178E-2</v>
      </c>
      <c r="F33" s="53">
        <f t="shared" si="2"/>
        <v>3.6361643835616433E-3</v>
      </c>
      <c r="G33" s="51">
        <f t="shared" si="3"/>
        <v>3.0272590240359533E-2</v>
      </c>
      <c r="H33" s="1"/>
      <c r="I33" s="8">
        <f t="shared" si="0"/>
        <v>16.77</v>
      </c>
      <c r="J33" s="52">
        <f t="shared" si="4"/>
        <v>3.3908754623921178E-2</v>
      </c>
      <c r="K33" s="48">
        <v>19890.41</v>
      </c>
      <c r="L33" s="52">
        <f t="shared" si="5"/>
        <v>-8.4882424283511115E-3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27.42</v>
      </c>
      <c r="D34" s="47">
        <v>4.58E-2</v>
      </c>
      <c r="E34" s="52">
        <f t="shared" si="1"/>
        <v>0.63506261180679791</v>
      </c>
      <c r="F34" s="53">
        <f t="shared" si="2"/>
        <v>3.5134246575342465E-3</v>
      </c>
      <c r="G34" s="51">
        <f t="shared" si="3"/>
        <v>0.63154918714926367</v>
      </c>
      <c r="H34" s="1"/>
      <c r="I34" s="8">
        <f t="shared" si="0"/>
        <v>27.42</v>
      </c>
      <c r="J34" s="52">
        <f t="shared" si="4"/>
        <v>0.63506261180679791</v>
      </c>
      <c r="K34" s="48">
        <v>20930.37</v>
      </c>
      <c r="L34" s="52">
        <f t="shared" si="5"/>
        <v>5.2284492878728939E-2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16.77</v>
      </c>
      <c r="D35" s="47">
        <v>4.5499999999999999E-2</v>
      </c>
      <c r="E35" s="52">
        <f t="shared" si="1"/>
        <v>-0.38840262582056895</v>
      </c>
      <c r="F35" s="53">
        <f t="shared" si="2"/>
        <v>3.4904109589041091E-3</v>
      </c>
      <c r="G35" s="51">
        <f t="shared" si="3"/>
        <v>-0.39189303677947307</v>
      </c>
      <c r="H35" s="1"/>
      <c r="I35" s="8">
        <f t="shared" si="0"/>
        <v>16.77</v>
      </c>
      <c r="J35" s="52">
        <f t="shared" si="4"/>
        <v>-0.38840262582056895</v>
      </c>
      <c r="K35" s="48">
        <v>21012.17</v>
      </c>
      <c r="L35" s="52">
        <f t="shared" si="5"/>
        <v>3.9081965583980249E-3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18.34</v>
      </c>
      <c r="D36" s="47">
        <v>4.2200000000000001E-2</v>
      </c>
      <c r="E36" s="52">
        <f t="shared" si="1"/>
        <v>9.3619558735837716E-2</v>
      </c>
      <c r="F36" s="53">
        <f t="shared" si="2"/>
        <v>3.2372602739726029E-3</v>
      </c>
      <c r="G36" s="51">
        <f t="shared" si="3"/>
        <v>9.0382298461865115E-2</v>
      </c>
      <c r="H36" s="1"/>
      <c r="I36" s="8">
        <f t="shared" si="0"/>
        <v>18.34</v>
      </c>
      <c r="J36" s="52">
        <f t="shared" si="4"/>
        <v>9.3619558735837716E-2</v>
      </c>
      <c r="K36" s="48">
        <v>21478.05</v>
      </c>
      <c r="L36" s="52">
        <f t="shared" si="5"/>
        <v>2.2171912753418566E-2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13.92</v>
      </c>
      <c r="D37" s="47">
        <v>4.2599999999999999E-2</v>
      </c>
      <c r="E37" s="52">
        <f t="shared" si="1"/>
        <v>-0.24100327153762269</v>
      </c>
      <c r="F37" s="53">
        <f t="shared" si="2"/>
        <v>3.267945205479452E-3</v>
      </c>
      <c r="G37" s="51">
        <f t="shared" si="3"/>
        <v>-0.24427121674310215</v>
      </c>
      <c r="H37" s="1"/>
      <c r="I37" s="8">
        <f t="shared" si="0"/>
        <v>13.92</v>
      </c>
      <c r="J37" s="52">
        <f t="shared" si="4"/>
        <v>-0.24100327153762269</v>
      </c>
      <c r="K37" s="48">
        <v>20884.41</v>
      </c>
      <c r="L37" s="52">
        <f t="shared" si="5"/>
        <v>-2.7639380670032909E-2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11.5</v>
      </c>
      <c r="D38" s="47">
        <v>4.24E-2</v>
      </c>
      <c r="E38" s="52">
        <f t="shared" si="1"/>
        <v>-0.17385057471264365</v>
      </c>
      <c r="F38" s="53">
        <f t="shared" si="2"/>
        <v>3.2526027397260277E-3</v>
      </c>
      <c r="G38" s="51">
        <f t="shared" si="3"/>
        <v>-0.17710317745236967</v>
      </c>
      <c r="H38" s="1"/>
      <c r="I38" s="8">
        <f t="shared" si="0"/>
        <v>11.5</v>
      </c>
      <c r="J38" s="52">
        <f t="shared" si="4"/>
        <v>-0.17385057471264365</v>
      </c>
      <c r="K38" s="48">
        <v>19278.45</v>
      </c>
      <c r="L38" s="52">
        <f t="shared" si="5"/>
        <v>-7.6897551810177989E-2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13.37</v>
      </c>
      <c r="D39" s="47">
        <v>4.24E-2</v>
      </c>
      <c r="E39" s="52">
        <f t="shared" si="1"/>
        <v>0.16260869565217395</v>
      </c>
      <c r="F39" s="53">
        <f t="shared" si="2"/>
        <v>3.2526027397260277E-3</v>
      </c>
      <c r="G39" s="51">
        <f t="shared" si="3"/>
        <v>0.15935609291244793</v>
      </c>
      <c r="H39" s="1"/>
      <c r="I39" s="8">
        <f t="shared" si="0"/>
        <v>13.37</v>
      </c>
      <c r="J39" s="52">
        <f t="shared" si="4"/>
        <v>0.16260869565217395</v>
      </c>
      <c r="K39" s="48">
        <v>19571.02</v>
      </c>
      <c r="L39" s="52">
        <f t="shared" si="5"/>
        <v>1.51760125943734E-2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14.12</v>
      </c>
      <c r="D40" s="47">
        <v>4.2299999999999997E-2</v>
      </c>
      <c r="E40" s="52">
        <f t="shared" si="1"/>
        <v>5.6095736724008916E-2</v>
      </c>
      <c r="F40" s="53">
        <f t="shared" si="2"/>
        <v>3.2449315068493151E-3</v>
      </c>
      <c r="G40" s="51">
        <f t="shared" si="3"/>
        <v>5.2850805217159603E-2</v>
      </c>
      <c r="H40" s="1"/>
      <c r="I40" s="8">
        <f t="shared" si="0"/>
        <v>14.12</v>
      </c>
      <c r="J40" s="52">
        <f t="shared" si="4"/>
        <v>5.6095736724008916E-2</v>
      </c>
      <c r="K40" s="48">
        <v>21340.99</v>
      </c>
      <c r="L40" s="52">
        <f t="shared" si="5"/>
        <v>9.04383113399303E-2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15.04</v>
      </c>
      <c r="D41" s="47">
        <v>4.2200000000000001E-2</v>
      </c>
      <c r="E41" s="52">
        <f t="shared" si="1"/>
        <v>6.5155807365439022E-2</v>
      </c>
      <c r="F41" s="53">
        <f t="shared" si="2"/>
        <v>3.2372602739726029E-3</v>
      </c>
      <c r="G41" s="51">
        <f t="shared" si="3"/>
        <v>6.1918547091466422E-2</v>
      </c>
      <c r="H41" s="1"/>
      <c r="I41" s="8">
        <f t="shared" si="0"/>
        <v>15.04</v>
      </c>
      <c r="J41" s="52">
        <f t="shared" si="4"/>
        <v>6.5155807365439022E-2</v>
      </c>
      <c r="K41" s="48">
        <v>21913.32</v>
      </c>
      <c r="L41" s="52">
        <f t="shared" si="5"/>
        <v>2.6818343478910656E-2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4.710885910658387E-2</v>
      </c>
      <c r="H43" s="1"/>
      <c r="I43" s="1"/>
      <c r="J43" s="1"/>
      <c r="K43" s="48" t="s">
        <v>65</v>
      </c>
      <c r="L43" s="82">
        <f>COVAR(J20:J41,L20:L41)</f>
        <v>8.8382639066759538E-3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2.111160292142152E-3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4.1864485323887672</v>
      </c>
    </row>
  </sheetData>
  <mergeCells count="1">
    <mergeCell ref="B4:D4"/>
  </mergeCells>
  <conditionalFormatting sqref="S10">
    <cfRule type="expression" dxfId="379" priority="19">
      <formula>IF($Q$10&gt;$Q$11,1,0)</formula>
    </cfRule>
  </conditionalFormatting>
  <conditionalFormatting sqref="Q10">
    <cfRule type="expression" dxfId="378" priority="10">
      <formula>IF($Q$10&lt;$Q$11,1,0)</formula>
    </cfRule>
    <cfRule type="expression" dxfId="377" priority="18">
      <formula>IF($Q$10&gt;$Q$11,1,0)</formula>
    </cfRule>
  </conditionalFormatting>
  <conditionalFormatting sqref="Q12">
    <cfRule type="expression" dxfId="376" priority="9">
      <formula>IF($Q$12&gt;$Q$13,1,0)</formula>
    </cfRule>
    <cfRule type="expression" dxfId="375" priority="17">
      <formula>IF($Q$12&lt;$Q$13,1,0)</formula>
    </cfRule>
  </conditionalFormatting>
  <conditionalFormatting sqref="Q14">
    <cfRule type="expression" dxfId="374" priority="16">
      <formula>IF($Q$15="Sell",1,0)</formula>
    </cfRule>
  </conditionalFormatting>
  <conditionalFormatting sqref="Q14:Q15">
    <cfRule type="expression" dxfId="373" priority="15">
      <formula>IF($Q$15="Buy",1,0)</formula>
    </cfRule>
  </conditionalFormatting>
  <conditionalFormatting sqref="Q16">
    <cfRule type="expression" dxfId="372" priority="13">
      <formula>IF($Q$16&lt;$Q$17,1,0)</formula>
    </cfRule>
    <cfRule type="expression" dxfId="371" priority="14">
      <formula>IF($Q$16&gt;$Q$17,1,0)</formula>
    </cfRule>
  </conditionalFormatting>
  <conditionalFormatting sqref="Q18">
    <cfRule type="expression" dxfId="370" priority="11">
      <formula>IF($Q$18&lt;$Q$19,1,0)</formula>
    </cfRule>
    <cfRule type="expression" dxfId="369" priority="12">
      <formula>IF($Q$18&gt;$Q$19,1,0)</formula>
    </cfRule>
  </conditionalFormatting>
  <conditionalFormatting sqref="Q23">
    <cfRule type="expression" dxfId="368" priority="7">
      <formula>IF($Q$23&lt;1.1,1,0)</formula>
    </cfRule>
    <cfRule type="expression" dxfId="367" priority="8">
      <formula>IF($Q$23&gt;1.1,1,0)</formula>
    </cfRule>
  </conditionalFormatting>
  <conditionalFormatting sqref="Q26">
    <cfRule type="expression" dxfId="366" priority="5">
      <formula>IF($Q$26&lt;$Q$19,1,0)</formula>
    </cfRule>
    <cfRule type="expression" dxfId="365" priority="6">
      <formula>IF($Q$26&gt;$Q$19,1,0)</formula>
    </cfRule>
  </conditionalFormatting>
  <conditionalFormatting sqref="Q30">
    <cfRule type="expression" dxfId="364" priority="3">
      <formula>IF($Q$28&lt;$Q$29,1,0)</formula>
    </cfRule>
    <cfRule type="expression" dxfId="363" priority="4">
      <formula>IF($Q$28&gt;$Q$29,1,0)</formula>
    </cfRule>
  </conditionalFormatting>
  <conditionalFormatting sqref="R31">
    <cfRule type="expression" dxfId="362" priority="1">
      <formula>IF($R$31&lt;0.485,1,0)</formula>
    </cfRule>
    <cfRule type="expression" dxfId="361" priority="2">
      <formula>IF($R$31&gt;0.49,1,0)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2CB02-ED7D-472C-82E9-D954BCF93CDA}">
  <sheetPr codeName="Sheet28"/>
  <dimension ref="B2:R45"/>
  <sheetViews>
    <sheetView zoomScale="85" zoomScaleNormal="85" workbookViewId="0">
      <selection activeCell="C14" sqref="C14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197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198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SYM</v>
      </c>
      <c r="R5" s="8"/>
    </row>
    <row r="6" spans="2:18" x14ac:dyDescent="0.2">
      <c r="B6" s="1" t="s">
        <v>4</v>
      </c>
      <c r="C6" s="1" t="s">
        <v>62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NASDAQ</v>
      </c>
      <c r="R6" s="8"/>
    </row>
    <row r="7" spans="2:18" x14ac:dyDescent="0.2">
      <c r="B7" s="1" t="s">
        <v>7</v>
      </c>
      <c r="C7" s="13">
        <v>45822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27.97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-320.92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2.14</v>
      </c>
      <c r="R11" s="31">
        <f>IF(Q10&gt;Q11,0,1)</f>
        <v>1</v>
      </c>
    </row>
    <row r="12" spans="2:18" x14ac:dyDescent="0.2">
      <c r="B12" s="1" t="s">
        <v>26</v>
      </c>
      <c r="C12" s="32">
        <f>Q23</f>
        <v>1.95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0.06</v>
      </c>
      <c r="R12" s="25"/>
    </row>
    <row r="13" spans="2:18" x14ac:dyDescent="0.2">
      <c r="B13" s="1" t="s">
        <v>30</v>
      </c>
      <c r="C13" s="26">
        <f>G43</f>
        <v>-2.802726271627093E-3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4.2099999999999999E-2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3.5234683770327166E-2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-0.31900000000000001</v>
      </c>
      <c r="R14" s="31"/>
    </row>
    <row r="15" spans="2:18" ht="19" x14ac:dyDescent="0.25">
      <c r="B15" s="1" t="s">
        <v>36</v>
      </c>
      <c r="C15" s="39">
        <f>C10*(1+C14)</f>
        <v>28.95551410505605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f>IF(Q15="Sell",0,1)</f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7.67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14.12</v>
      </c>
      <c r="R17" s="42">
        <f>IF(Q16&lt;Q17,0,1)</f>
        <v>0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Symbotic Inc</v>
      </c>
      <c r="J18" s="34" t="s">
        <v>45</v>
      </c>
      <c r="K18" s="34" t="str">
        <f>_xlfn.CONCAT("Precio ",C6)</f>
        <v>Precio NASDAQ</v>
      </c>
      <c r="L18" s="34" t="s">
        <v>46</v>
      </c>
      <c r="M18" s="1"/>
      <c r="N18" s="21"/>
      <c r="O18" s="22"/>
      <c r="P18" s="23" t="s">
        <v>47</v>
      </c>
      <c r="Q18" s="137">
        <f>C14</f>
        <v>3.5234683770327166E-2</v>
      </c>
      <c r="R18" s="25"/>
    </row>
    <row r="19" spans="2:18" x14ac:dyDescent="0.2">
      <c r="B19" s="46">
        <v>45108</v>
      </c>
      <c r="C19">
        <v>41.79</v>
      </c>
      <c r="D19" s="47">
        <v>5.2699999999999997E-2</v>
      </c>
      <c r="E19" s="1"/>
      <c r="F19" s="1"/>
      <c r="G19" s="1"/>
      <c r="H19" s="1"/>
      <c r="I19" s="8">
        <f>C19</f>
        <v>41.79</v>
      </c>
      <c r="J19" s="8"/>
      <c r="K19" s="48">
        <v>15501.07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33.43</v>
      </c>
      <c r="D20" s="47">
        <v>5.28E-2</v>
      </c>
      <c r="E20" s="52">
        <f>C20/C19-1</f>
        <v>-0.2000478583393156</v>
      </c>
      <c r="F20" s="53">
        <f>D20/365*28</f>
        <v>4.0504109589041097E-3</v>
      </c>
      <c r="G20" s="51">
        <f>E20-F20</f>
        <v>-0.2040982692982197</v>
      </c>
      <c r="H20" s="1"/>
      <c r="I20" s="8">
        <f t="shared" ref="I20:I41" si="0">C20</f>
        <v>33.43</v>
      </c>
      <c r="J20" s="52">
        <f>I20/I19-1</f>
        <v>-0.2000478583393156</v>
      </c>
      <c r="K20" s="48">
        <v>14715.24</v>
      </c>
      <c r="L20" s="52">
        <f>K20/K19-1</f>
        <v>-5.0695210072595032E-2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34.03</v>
      </c>
      <c r="D21" s="47">
        <v>5.2900000000000003E-2</v>
      </c>
      <c r="E21" s="52">
        <f t="shared" ref="E21:E41" si="1">C21/C20-1</f>
        <v>1.7947950942267532E-2</v>
      </c>
      <c r="F21" s="53">
        <f t="shared" ref="F21:F41" si="2">D21/365*28</f>
        <v>4.0580821917808214E-3</v>
      </c>
      <c r="G21" s="51">
        <f t="shared" ref="G21:G41" si="3">E21-F21</f>
        <v>1.3889868750486711E-2</v>
      </c>
      <c r="H21" s="1"/>
      <c r="I21" s="8">
        <f t="shared" si="0"/>
        <v>34.03</v>
      </c>
      <c r="J21" s="52">
        <f t="shared" ref="J21:J41" si="4">I21/I20-1</f>
        <v>1.7947950942267532E-2</v>
      </c>
      <c r="K21" s="48">
        <v>14409.78</v>
      </c>
      <c r="L21" s="52">
        <f t="shared" ref="L21:L41" si="5">K21/K20-1</f>
        <v>-2.0758071224118657E-2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52.88</v>
      </c>
      <c r="D22" s="47">
        <v>5.2900000000000003E-2</v>
      </c>
      <c r="E22" s="52">
        <f t="shared" si="1"/>
        <v>0.55392300910960923</v>
      </c>
      <c r="F22" s="53">
        <f t="shared" si="2"/>
        <v>4.0580821917808214E-3</v>
      </c>
      <c r="G22" s="51">
        <f t="shared" si="3"/>
        <v>0.5498649269178284</v>
      </c>
      <c r="H22" s="1"/>
      <c r="I22" s="8">
        <f t="shared" si="0"/>
        <v>52.88</v>
      </c>
      <c r="J22" s="52">
        <f t="shared" si="4"/>
        <v>0.55392300910960923</v>
      </c>
      <c r="K22" s="48">
        <v>15947.87</v>
      </c>
      <c r="L22" s="52">
        <f t="shared" si="5"/>
        <v>0.10673931177297646</v>
      </c>
      <c r="M22" s="1"/>
      <c r="N22" s="28" t="s">
        <v>50</v>
      </c>
      <c r="O22" s="29"/>
      <c r="P22" s="33"/>
      <c r="Q22" s="56"/>
      <c r="R22" s="35">
        <f>IF(Q18&lt;Q19,0,1)</f>
        <v>0</v>
      </c>
    </row>
    <row r="23" spans="2:18" x14ac:dyDescent="0.2">
      <c r="B23" s="46">
        <v>45231</v>
      </c>
      <c r="C23">
        <v>51.33</v>
      </c>
      <c r="D23" s="47">
        <v>5.2900000000000003E-2</v>
      </c>
      <c r="E23" s="52">
        <f t="shared" si="1"/>
        <v>-2.9311649016641517E-2</v>
      </c>
      <c r="F23" s="53">
        <f t="shared" si="2"/>
        <v>4.0580821917808214E-3</v>
      </c>
      <c r="G23" s="51">
        <f t="shared" si="3"/>
        <v>-3.3369731208422335E-2</v>
      </c>
      <c r="H23" s="1"/>
      <c r="I23" s="8">
        <f t="shared" si="0"/>
        <v>51.33</v>
      </c>
      <c r="J23" s="52">
        <f t="shared" si="4"/>
        <v>-2.9311649016641517E-2</v>
      </c>
      <c r="K23" s="48">
        <v>16825.93</v>
      </c>
      <c r="L23" s="52">
        <f t="shared" si="5"/>
        <v>5.5058136290300874E-2</v>
      </c>
      <c r="M23" s="1"/>
      <c r="N23" s="57" t="s">
        <v>51</v>
      </c>
      <c r="O23" s="58" t="s">
        <v>52</v>
      </c>
      <c r="P23" s="59" t="s">
        <v>44</v>
      </c>
      <c r="Q23" s="128">
        <v>1.95</v>
      </c>
      <c r="R23" s="61">
        <f>IF(Q23&gt;1.1,0,1)</f>
        <v>0</v>
      </c>
    </row>
    <row r="24" spans="2:18" x14ac:dyDescent="0.2">
      <c r="B24" s="46">
        <v>45261</v>
      </c>
      <c r="C24">
        <v>43.03</v>
      </c>
      <c r="D24" s="47">
        <v>5.33E-2</v>
      </c>
      <c r="E24" s="52">
        <f t="shared" si="1"/>
        <v>-0.16169881161114352</v>
      </c>
      <c r="F24" s="53">
        <f t="shared" si="2"/>
        <v>4.0887671232876718E-3</v>
      </c>
      <c r="G24" s="51">
        <f t="shared" si="3"/>
        <v>-0.1657875787344312</v>
      </c>
      <c r="H24" s="1"/>
      <c r="I24" s="8">
        <f t="shared" si="0"/>
        <v>43.03</v>
      </c>
      <c r="J24" s="52">
        <f t="shared" si="4"/>
        <v>-0.16169881161114352</v>
      </c>
      <c r="K24" s="48">
        <v>17137.240000000002</v>
      </c>
      <c r="L24" s="52">
        <f t="shared" si="5"/>
        <v>1.8501800494831633E-2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39.4</v>
      </c>
      <c r="D25" s="47">
        <v>5.2699999999999997E-2</v>
      </c>
      <c r="E25" s="52">
        <f t="shared" si="1"/>
        <v>-8.435974901231702E-2</v>
      </c>
      <c r="F25" s="53">
        <f t="shared" si="2"/>
        <v>4.0427397260273962E-3</v>
      </c>
      <c r="G25" s="51">
        <f t="shared" si="3"/>
        <v>-8.8402488738344415E-2</v>
      </c>
      <c r="H25" s="1"/>
      <c r="I25" s="8">
        <f t="shared" si="0"/>
        <v>39.4</v>
      </c>
      <c r="J25" s="52">
        <f t="shared" si="4"/>
        <v>-8.435974901231702E-2</v>
      </c>
      <c r="K25" s="48">
        <v>18043.849999999999</v>
      </c>
      <c r="L25" s="52">
        <f t="shared" si="5"/>
        <v>5.2902917856084031E-2</v>
      </c>
      <c r="M25" s="1"/>
      <c r="N25" s="30"/>
      <c r="O25" s="64"/>
      <c r="P25" s="30" t="s">
        <v>23</v>
      </c>
      <c r="Q25" s="84">
        <f>Q10</f>
        <v>-320.92</v>
      </c>
      <c r="R25" s="31"/>
    </row>
    <row r="26" spans="2:18" x14ac:dyDescent="0.2">
      <c r="B26" s="46">
        <v>45323</v>
      </c>
      <c r="C26">
        <v>45</v>
      </c>
      <c r="D26" s="47">
        <v>5.2999999999999999E-2</v>
      </c>
      <c r="E26" s="52">
        <f t="shared" si="1"/>
        <v>0.14213197969543145</v>
      </c>
      <c r="F26" s="53">
        <f t="shared" si="2"/>
        <v>4.0657534246575349E-3</v>
      </c>
      <c r="G26" s="51">
        <f t="shared" si="3"/>
        <v>0.13806622627077392</v>
      </c>
      <c r="H26" s="1"/>
      <c r="I26" s="8">
        <f t="shared" si="0"/>
        <v>45</v>
      </c>
      <c r="J26" s="52">
        <f t="shared" si="4"/>
        <v>0.14213197969543145</v>
      </c>
      <c r="K26" s="48">
        <v>18254.689999999999</v>
      </c>
      <c r="L26" s="52">
        <f t="shared" si="5"/>
        <v>1.1684867697304036E-2</v>
      </c>
      <c r="M26" s="1"/>
      <c r="N26" s="49" t="s">
        <v>54</v>
      </c>
      <c r="O26" s="64"/>
      <c r="P26" s="30" t="s">
        <v>55</v>
      </c>
      <c r="Q26" s="132">
        <f>1/Q25</f>
        <v>-3.1160413810295399E-3</v>
      </c>
      <c r="R26" s="31">
        <f>IF(Q26&lt;Q19,0,1)</f>
        <v>0</v>
      </c>
    </row>
    <row r="27" spans="2:18" x14ac:dyDescent="0.2">
      <c r="B27" s="46">
        <v>45352</v>
      </c>
      <c r="C27">
        <v>38.57</v>
      </c>
      <c r="D27" s="47">
        <v>5.2900000000000003E-2</v>
      </c>
      <c r="E27" s="52">
        <f t="shared" si="1"/>
        <v>-0.14288888888888884</v>
      </c>
      <c r="F27" s="53">
        <f t="shared" si="2"/>
        <v>4.0580821917808214E-3</v>
      </c>
      <c r="G27" s="51">
        <f t="shared" si="3"/>
        <v>-0.14694697108066967</v>
      </c>
      <c r="H27" s="1"/>
      <c r="I27" s="8">
        <f t="shared" si="0"/>
        <v>38.57</v>
      </c>
      <c r="J27" s="52">
        <f t="shared" si="4"/>
        <v>-0.14288888888888884</v>
      </c>
      <c r="K27" s="48">
        <v>17440.689999999999</v>
      </c>
      <c r="L27" s="52">
        <f t="shared" si="5"/>
        <v>-4.4591280377809794E-2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39.57</v>
      </c>
      <c r="D28" s="47">
        <v>5.28E-2</v>
      </c>
      <c r="E28" s="52">
        <f t="shared" si="1"/>
        <v>2.5926886180969611E-2</v>
      </c>
      <c r="F28" s="53">
        <f t="shared" si="2"/>
        <v>4.0504109589041097E-3</v>
      </c>
      <c r="G28" s="51">
        <f t="shared" si="3"/>
        <v>2.1876475222065501E-2</v>
      </c>
      <c r="H28" s="1"/>
      <c r="I28" s="8">
        <f t="shared" si="0"/>
        <v>39.57</v>
      </c>
      <c r="J28" s="52">
        <f t="shared" si="4"/>
        <v>2.5926886180969611E-2</v>
      </c>
      <c r="K28" s="48">
        <v>18536.650000000001</v>
      </c>
      <c r="L28" s="52">
        <f t="shared" si="5"/>
        <v>6.2839256933068688E-2</v>
      </c>
      <c r="M28" s="1"/>
      <c r="N28" s="30"/>
      <c r="O28" s="1"/>
      <c r="P28" s="30" t="s">
        <v>57</v>
      </c>
      <c r="Q28" s="51">
        <f>Q18</f>
        <v>3.5234683770327166E-2</v>
      </c>
      <c r="R28" s="31"/>
    </row>
    <row r="29" spans="2:18" x14ac:dyDescent="0.2">
      <c r="B29" s="46">
        <v>45413</v>
      </c>
      <c r="C29">
        <v>35.159999999999997</v>
      </c>
      <c r="D29" s="47">
        <v>5.2699999999999997E-2</v>
      </c>
      <c r="E29" s="52">
        <f t="shared" si="1"/>
        <v>-0.11144806671721008</v>
      </c>
      <c r="F29" s="53">
        <f t="shared" si="2"/>
        <v>4.0427397260273962E-3</v>
      </c>
      <c r="G29" s="51">
        <f t="shared" si="3"/>
        <v>-0.11549080644323748</v>
      </c>
      <c r="H29" s="1"/>
      <c r="I29" s="8">
        <f t="shared" si="0"/>
        <v>35.159999999999997</v>
      </c>
      <c r="J29" s="52">
        <f t="shared" si="4"/>
        <v>-0.11144806671721008</v>
      </c>
      <c r="K29" s="48">
        <v>19682.87</v>
      </c>
      <c r="L29" s="52">
        <f t="shared" si="5"/>
        <v>6.1835337021522108E-2</v>
      </c>
      <c r="M29" s="1"/>
      <c r="N29" s="49" t="s">
        <v>117</v>
      </c>
      <c r="O29" s="1"/>
      <c r="P29" s="30" t="s">
        <v>58</v>
      </c>
      <c r="Q29" s="67">
        <v>4.7570000000000001E-2</v>
      </c>
      <c r="R29" s="31"/>
    </row>
    <row r="30" spans="2:18" ht="17" thickBot="1" x14ac:dyDescent="0.25">
      <c r="B30" s="46">
        <v>45444</v>
      </c>
      <c r="C30">
        <v>26.81</v>
      </c>
      <c r="D30" s="47">
        <v>5.2699999999999997E-2</v>
      </c>
      <c r="E30" s="52">
        <f t="shared" si="1"/>
        <v>-0.23748577929465298</v>
      </c>
      <c r="F30" s="53">
        <f t="shared" si="2"/>
        <v>4.0427397260273962E-3</v>
      </c>
      <c r="G30" s="51">
        <f t="shared" si="3"/>
        <v>-0.24152851902068037</v>
      </c>
      <c r="I30" s="8">
        <f t="shared" si="0"/>
        <v>26.81</v>
      </c>
      <c r="J30" s="52">
        <f t="shared" si="4"/>
        <v>-0.23748577929465298</v>
      </c>
      <c r="K30" s="48">
        <v>19362.43</v>
      </c>
      <c r="L30" s="52">
        <f t="shared" si="5"/>
        <v>-1.6280146137224838E-2</v>
      </c>
      <c r="M30" s="1"/>
      <c r="N30" s="1"/>
      <c r="O30" s="1"/>
      <c r="P30" s="33"/>
      <c r="Q30" s="68">
        <f>Q28-Q29</f>
        <v>-1.2335316229672835E-2</v>
      </c>
      <c r="R30" s="31">
        <f>IF(Q28&lt;Q29,0,1)</f>
        <v>0</v>
      </c>
    </row>
    <row r="31" spans="2:18" ht="17" thickBot="1" x14ac:dyDescent="0.25">
      <c r="B31" s="46">
        <v>45474</v>
      </c>
      <c r="C31">
        <v>19.2</v>
      </c>
      <c r="D31" s="47">
        <v>5.28E-2</v>
      </c>
      <c r="E31" s="52">
        <f t="shared" si="1"/>
        <v>-0.28384930995897051</v>
      </c>
      <c r="F31" s="53">
        <f t="shared" si="2"/>
        <v>4.0504109589041097E-3</v>
      </c>
      <c r="G31" s="51">
        <f t="shared" si="3"/>
        <v>-0.28789972091787464</v>
      </c>
      <c r="H31" s="1"/>
      <c r="I31" s="8">
        <f t="shared" si="0"/>
        <v>19.2</v>
      </c>
      <c r="J31" s="52">
        <f t="shared" si="4"/>
        <v>-0.28384930995897051</v>
      </c>
      <c r="K31" s="48">
        <v>19574.64</v>
      </c>
      <c r="L31" s="52">
        <f t="shared" si="5"/>
        <v>1.0959884683895416E-2</v>
      </c>
      <c r="M31" s="1"/>
      <c r="N31" s="1"/>
      <c r="O31" s="1"/>
      <c r="P31" s="30"/>
      <c r="Q31" s="69"/>
      <c r="R31" s="133">
        <f>SUM(R10:R30)/8</f>
        <v>0.25</v>
      </c>
    </row>
    <row r="32" spans="2:18" x14ac:dyDescent="0.2">
      <c r="B32" s="46">
        <v>45505</v>
      </c>
      <c r="C32">
        <v>24.39</v>
      </c>
      <c r="D32" s="47">
        <v>5.1799999999999999E-2</v>
      </c>
      <c r="E32" s="52">
        <f t="shared" si="1"/>
        <v>0.27031250000000018</v>
      </c>
      <c r="F32" s="53">
        <f t="shared" si="2"/>
        <v>3.9736986301369863E-3</v>
      </c>
      <c r="G32" s="51">
        <f t="shared" si="3"/>
        <v>0.26633880136986321</v>
      </c>
      <c r="H32" s="1"/>
      <c r="I32" s="8">
        <f t="shared" si="0"/>
        <v>24.39</v>
      </c>
      <c r="J32" s="52">
        <f t="shared" si="4"/>
        <v>0.27031250000000018</v>
      </c>
      <c r="K32" s="48">
        <v>20060.689999999999</v>
      </c>
      <c r="L32" s="52">
        <f t="shared" si="5"/>
        <v>2.4830597139972932E-2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27.79</v>
      </c>
      <c r="D33" s="47">
        <v>4.7399999999999998E-2</v>
      </c>
      <c r="E33" s="52">
        <f t="shared" si="1"/>
        <v>0.13940139401394003</v>
      </c>
      <c r="F33" s="53">
        <f t="shared" si="2"/>
        <v>3.6361643835616433E-3</v>
      </c>
      <c r="G33" s="51">
        <f t="shared" si="3"/>
        <v>0.13576522963037838</v>
      </c>
      <c r="H33" s="1"/>
      <c r="I33" s="8">
        <f t="shared" si="0"/>
        <v>27.79</v>
      </c>
      <c r="J33" s="52">
        <f t="shared" si="4"/>
        <v>0.13940139401394003</v>
      </c>
      <c r="K33" s="48">
        <v>19890.41</v>
      </c>
      <c r="L33" s="52">
        <f t="shared" si="5"/>
        <v>-8.4882424283511115E-3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26.9</v>
      </c>
      <c r="D34" s="47">
        <v>4.58E-2</v>
      </c>
      <c r="E34" s="52">
        <f t="shared" si="1"/>
        <v>-3.2025908600215924E-2</v>
      </c>
      <c r="F34" s="53">
        <f t="shared" si="2"/>
        <v>3.5134246575342465E-3</v>
      </c>
      <c r="G34" s="51">
        <f t="shared" si="3"/>
        <v>-3.5539333257750168E-2</v>
      </c>
      <c r="H34" s="1"/>
      <c r="I34" s="8">
        <f t="shared" si="0"/>
        <v>26.9</v>
      </c>
      <c r="J34" s="52">
        <f t="shared" si="4"/>
        <v>-3.2025908600215924E-2</v>
      </c>
      <c r="K34" s="48">
        <v>20930.37</v>
      </c>
      <c r="L34" s="52">
        <f t="shared" si="5"/>
        <v>5.2284492878728939E-2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23.71</v>
      </c>
      <c r="D35" s="47">
        <v>4.5499999999999999E-2</v>
      </c>
      <c r="E35" s="52">
        <f t="shared" si="1"/>
        <v>-0.11858736059479547</v>
      </c>
      <c r="F35" s="53">
        <f t="shared" si="2"/>
        <v>3.4904109589041091E-3</v>
      </c>
      <c r="G35" s="51">
        <f t="shared" si="3"/>
        <v>-0.12207777155369957</v>
      </c>
      <c r="H35" s="1"/>
      <c r="I35" s="8">
        <f t="shared" si="0"/>
        <v>23.71</v>
      </c>
      <c r="J35" s="52">
        <f t="shared" si="4"/>
        <v>-0.11858736059479547</v>
      </c>
      <c r="K35" s="48">
        <v>21012.17</v>
      </c>
      <c r="L35" s="52">
        <f t="shared" si="5"/>
        <v>3.9081965583980249E-3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29.35</v>
      </c>
      <c r="D36" s="47">
        <v>4.2200000000000001E-2</v>
      </c>
      <c r="E36" s="52">
        <f t="shared" si="1"/>
        <v>0.23787431463517494</v>
      </c>
      <c r="F36" s="53">
        <f t="shared" si="2"/>
        <v>3.2372602739726029E-3</v>
      </c>
      <c r="G36" s="51">
        <f t="shared" si="3"/>
        <v>0.23463705436120233</v>
      </c>
      <c r="H36" s="1"/>
      <c r="I36" s="8">
        <f t="shared" si="0"/>
        <v>29.35</v>
      </c>
      <c r="J36" s="52">
        <f t="shared" si="4"/>
        <v>0.23787431463517494</v>
      </c>
      <c r="K36" s="48">
        <v>21478.05</v>
      </c>
      <c r="L36" s="52">
        <f t="shared" si="5"/>
        <v>2.2171912753418566E-2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22.77</v>
      </c>
      <c r="D37" s="47">
        <v>4.2599999999999999E-2</v>
      </c>
      <c r="E37" s="52">
        <f t="shared" si="1"/>
        <v>-0.22419080068143105</v>
      </c>
      <c r="F37" s="53">
        <f t="shared" si="2"/>
        <v>3.267945205479452E-3</v>
      </c>
      <c r="G37" s="51">
        <f t="shared" si="3"/>
        <v>-0.22745874588691051</v>
      </c>
      <c r="H37" s="1"/>
      <c r="I37" s="8">
        <f t="shared" si="0"/>
        <v>22.77</v>
      </c>
      <c r="J37" s="52">
        <f t="shared" si="4"/>
        <v>-0.22419080068143105</v>
      </c>
      <c r="K37" s="48">
        <v>20884.41</v>
      </c>
      <c r="L37" s="52">
        <f t="shared" si="5"/>
        <v>-2.7639380670032909E-2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20.21</v>
      </c>
      <c r="D38" s="47">
        <v>4.24E-2</v>
      </c>
      <c r="E38" s="52">
        <f t="shared" si="1"/>
        <v>-0.1124286341677645</v>
      </c>
      <c r="F38" s="53">
        <f t="shared" si="2"/>
        <v>3.2526027397260277E-3</v>
      </c>
      <c r="G38" s="51">
        <f t="shared" si="3"/>
        <v>-0.11568123690749052</v>
      </c>
      <c r="H38" s="1"/>
      <c r="I38" s="8">
        <f t="shared" si="0"/>
        <v>20.21</v>
      </c>
      <c r="J38" s="52">
        <f t="shared" si="4"/>
        <v>-0.1124286341677645</v>
      </c>
      <c r="K38" s="48">
        <v>19278.45</v>
      </c>
      <c r="L38" s="52">
        <f t="shared" si="5"/>
        <v>-7.6897551810177989E-2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21.58</v>
      </c>
      <c r="D39" s="47">
        <v>4.24E-2</v>
      </c>
      <c r="E39" s="52">
        <f t="shared" si="1"/>
        <v>6.7788223651657376E-2</v>
      </c>
      <c r="F39" s="53">
        <f t="shared" si="2"/>
        <v>3.2526027397260277E-3</v>
      </c>
      <c r="G39" s="51">
        <f t="shared" si="3"/>
        <v>6.4535620911931352E-2</v>
      </c>
      <c r="H39" s="1"/>
      <c r="I39" s="8">
        <f t="shared" si="0"/>
        <v>21.58</v>
      </c>
      <c r="J39" s="52">
        <f t="shared" si="4"/>
        <v>6.7788223651657376E-2</v>
      </c>
      <c r="K39" s="48">
        <v>19571.02</v>
      </c>
      <c r="L39" s="52">
        <f t="shared" si="5"/>
        <v>1.51760125943734E-2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28.67</v>
      </c>
      <c r="D40" s="47">
        <v>4.2299999999999997E-2</v>
      </c>
      <c r="E40" s="52">
        <f t="shared" si="1"/>
        <v>0.32854494902687703</v>
      </c>
      <c r="F40" s="53">
        <f t="shared" si="2"/>
        <v>3.2449315068493151E-3</v>
      </c>
      <c r="G40" s="51">
        <f t="shared" si="3"/>
        <v>0.32530001752002774</v>
      </c>
      <c r="H40" s="1"/>
      <c r="I40" s="8">
        <f t="shared" si="0"/>
        <v>28.67</v>
      </c>
      <c r="J40" s="52">
        <f t="shared" si="4"/>
        <v>0.32854494902687703</v>
      </c>
      <c r="K40" s="48">
        <v>21340.99</v>
      </c>
      <c r="L40" s="52">
        <f t="shared" si="5"/>
        <v>9.04383113399303E-2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27.97</v>
      </c>
      <c r="D41" s="47">
        <v>4.2200000000000001E-2</v>
      </c>
      <c r="E41" s="52">
        <f t="shared" si="1"/>
        <v>-2.4415765608650219E-2</v>
      </c>
      <c r="F41" s="53">
        <f t="shared" si="2"/>
        <v>3.2372602739726029E-3</v>
      </c>
      <c r="G41" s="51">
        <f t="shared" si="3"/>
        <v>-2.7653025882622823E-2</v>
      </c>
      <c r="H41" s="1"/>
      <c r="I41" s="8">
        <f t="shared" si="0"/>
        <v>27.97</v>
      </c>
      <c r="J41" s="52">
        <f t="shared" si="4"/>
        <v>-2.4415765608650219E-2</v>
      </c>
      <c r="K41" s="48">
        <v>21913.32</v>
      </c>
      <c r="L41" s="52">
        <f t="shared" si="5"/>
        <v>2.6818343478910656E-2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-2.802726271627093E-3</v>
      </c>
      <c r="H43" s="1"/>
      <c r="I43" s="1"/>
      <c r="J43" s="1"/>
      <c r="K43" s="48" t="s">
        <v>65</v>
      </c>
      <c r="L43" s="82">
        <f>COVAR(J20:J41,L20:L41)</f>
        <v>5.2995213155547401E-3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2.111160292142152E-3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2.5102410912519684</v>
      </c>
    </row>
  </sheetData>
  <mergeCells count="1">
    <mergeCell ref="B4:D4"/>
  </mergeCells>
  <conditionalFormatting sqref="S10">
    <cfRule type="expression" dxfId="360" priority="19">
      <formula>IF($Q$10&gt;$Q$11,1,0)</formula>
    </cfRule>
  </conditionalFormatting>
  <conditionalFormatting sqref="Q10">
    <cfRule type="expression" dxfId="359" priority="10">
      <formula>IF($Q$10&lt;$Q$11,1,0)</formula>
    </cfRule>
    <cfRule type="expression" dxfId="358" priority="18">
      <formula>IF($Q$10&gt;$Q$11,1,0)</formula>
    </cfRule>
  </conditionalFormatting>
  <conditionalFormatting sqref="Q12">
    <cfRule type="expression" dxfId="357" priority="9">
      <formula>IF($Q$12&gt;$Q$13,1,0)</formula>
    </cfRule>
    <cfRule type="expression" dxfId="356" priority="17">
      <formula>IF($Q$12&lt;$Q$13,1,0)</formula>
    </cfRule>
  </conditionalFormatting>
  <conditionalFormatting sqref="Q14">
    <cfRule type="expression" dxfId="355" priority="16">
      <formula>IF($Q$15="Sell",1,0)</formula>
    </cfRule>
  </conditionalFormatting>
  <conditionalFormatting sqref="Q14:Q15">
    <cfRule type="expression" dxfId="354" priority="15">
      <formula>IF($Q$15="Buy",1,0)</formula>
    </cfRule>
  </conditionalFormatting>
  <conditionalFormatting sqref="Q16">
    <cfRule type="expression" dxfId="353" priority="13">
      <formula>IF($Q$16&lt;$Q$17,1,0)</formula>
    </cfRule>
    <cfRule type="expression" dxfId="352" priority="14">
      <formula>IF($Q$16&gt;$Q$17,1,0)</formula>
    </cfRule>
  </conditionalFormatting>
  <conditionalFormatting sqref="Q18">
    <cfRule type="expression" dxfId="351" priority="11">
      <formula>IF($Q$18&lt;$Q$19,1,0)</formula>
    </cfRule>
    <cfRule type="expression" dxfId="350" priority="12">
      <formula>IF($Q$18&gt;$Q$19,1,0)</formula>
    </cfRule>
  </conditionalFormatting>
  <conditionalFormatting sqref="Q23">
    <cfRule type="expression" dxfId="349" priority="7">
      <formula>IF($Q$23&lt;1.1,1,0)</formula>
    </cfRule>
    <cfRule type="expression" dxfId="348" priority="8">
      <formula>IF($Q$23&gt;1.1,1,0)</formula>
    </cfRule>
  </conditionalFormatting>
  <conditionalFormatting sqref="Q26">
    <cfRule type="expression" dxfId="347" priority="5">
      <formula>IF($Q$26&lt;$Q$19,1,0)</formula>
    </cfRule>
    <cfRule type="expression" dxfId="346" priority="6">
      <formula>IF($Q$26&gt;$Q$19,1,0)</formula>
    </cfRule>
  </conditionalFormatting>
  <conditionalFormatting sqref="Q30">
    <cfRule type="expression" dxfId="345" priority="3">
      <formula>IF($Q$28&lt;$Q$29,1,0)</formula>
    </cfRule>
    <cfRule type="expression" dxfId="344" priority="4">
      <formula>IF($Q$28&gt;$Q$29,1,0)</formula>
    </cfRule>
  </conditionalFormatting>
  <conditionalFormatting sqref="R31">
    <cfRule type="expression" dxfId="343" priority="1">
      <formula>IF($R$31&lt;0.485,1,0)</formula>
    </cfRule>
    <cfRule type="expression" dxfId="342" priority="2">
      <formula>IF($R$31&gt;0.49,1,0)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315D7-7641-41CB-B6C2-E6643F18F951}">
  <sheetPr codeName="Sheet27"/>
  <dimension ref="B2:R45"/>
  <sheetViews>
    <sheetView zoomScale="85" zoomScaleNormal="85" workbookViewId="0">
      <selection activeCell="B2" sqref="B2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195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196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SMCI</v>
      </c>
      <c r="R5" s="8"/>
    </row>
    <row r="6" spans="2:18" x14ac:dyDescent="0.2">
      <c r="B6" s="1" t="s">
        <v>4</v>
      </c>
      <c r="C6" s="1" t="s">
        <v>62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NASDAQ</v>
      </c>
      <c r="R6" s="8"/>
    </row>
    <row r="7" spans="2:18" x14ac:dyDescent="0.2">
      <c r="B7" s="1" t="s">
        <v>7</v>
      </c>
      <c r="C7" s="13">
        <v>45822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41.56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21.23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29.87</v>
      </c>
      <c r="R11" s="31">
        <f>IF(Q10&gt;Q11,0,1)</f>
        <v>1</v>
      </c>
    </row>
    <row r="12" spans="2:18" x14ac:dyDescent="0.2">
      <c r="B12" s="1" t="s">
        <v>26</v>
      </c>
      <c r="C12" s="32">
        <f>Q23</f>
        <v>1.4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31</v>
      </c>
      <c r="R12" s="25"/>
    </row>
    <row r="13" spans="2:18" x14ac:dyDescent="0.2">
      <c r="B13" s="1" t="s">
        <v>30</v>
      </c>
      <c r="C13" s="26">
        <f>G43</f>
        <v>4.8520720761055798E-2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0.3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0.10862900906547811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-0.35</v>
      </c>
      <c r="R14" s="31"/>
    </row>
    <row r="15" spans="2:18" ht="19" x14ac:dyDescent="0.25">
      <c r="B15" s="1" t="s">
        <v>36</v>
      </c>
      <c r="C15" s="39">
        <f>C10*(1+C14)</f>
        <v>46.07462161676127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f>IF(Q15="Sell",0,1)</f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-90.44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34.72</v>
      </c>
      <c r="R17" s="42">
        <f>IF(Q16&lt;Q17,0,1)</f>
        <v>0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Super Micro Computer Inc</v>
      </c>
      <c r="J18" s="34" t="s">
        <v>45</v>
      </c>
      <c r="K18" s="34" t="str">
        <f>_xlfn.CONCAT("Precio ",C6)</f>
        <v>Precio NASDAQ</v>
      </c>
      <c r="L18" s="34" t="s">
        <v>46</v>
      </c>
      <c r="M18" s="1"/>
      <c r="N18" s="21"/>
      <c r="O18" s="22"/>
      <c r="P18" s="23" t="s">
        <v>47</v>
      </c>
      <c r="Q18" s="137">
        <f>C14</f>
        <v>0.10862900906547811</v>
      </c>
      <c r="R18" s="25"/>
    </row>
    <row r="19" spans="2:18" x14ac:dyDescent="0.2">
      <c r="B19" s="46">
        <v>45108</v>
      </c>
      <c r="C19">
        <v>27.51</v>
      </c>
      <c r="D19" s="47">
        <v>5.2699999999999997E-2</v>
      </c>
      <c r="E19" s="1"/>
      <c r="F19" s="1"/>
      <c r="G19" s="1"/>
      <c r="H19" s="1"/>
      <c r="I19" s="8">
        <f>C19</f>
        <v>27.51</v>
      </c>
      <c r="J19" s="8"/>
      <c r="K19" s="48">
        <v>15501.07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27.42</v>
      </c>
      <c r="D20" s="47">
        <v>5.28E-2</v>
      </c>
      <c r="E20" s="52">
        <f>C20/C19-1</f>
        <v>-3.2715376226826187E-3</v>
      </c>
      <c r="F20" s="53">
        <f>D20/365*28</f>
        <v>4.0504109589041097E-3</v>
      </c>
      <c r="G20" s="51">
        <f>E20-F20</f>
        <v>-7.3219485815867284E-3</v>
      </c>
      <c r="H20" s="1"/>
      <c r="I20" s="8">
        <f t="shared" ref="I20:I41" si="0">C20</f>
        <v>27.42</v>
      </c>
      <c r="J20" s="52">
        <f>I20/I19-1</f>
        <v>-3.2715376226826187E-3</v>
      </c>
      <c r="K20" s="48">
        <v>14715.24</v>
      </c>
      <c r="L20" s="52">
        <f>K20/K19-1</f>
        <v>-5.0695210072595032E-2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23.95</v>
      </c>
      <c r="D21" s="47">
        <v>5.2900000000000003E-2</v>
      </c>
      <c r="E21" s="52">
        <f t="shared" ref="E21:E41" si="1">C21/C20-1</f>
        <v>-0.12654996353026993</v>
      </c>
      <c r="F21" s="53">
        <f t="shared" ref="F21:F41" si="2">D21/365*28</f>
        <v>4.0580821917808214E-3</v>
      </c>
      <c r="G21" s="51">
        <f t="shared" ref="G21:G41" si="3">E21-F21</f>
        <v>-0.13060804572205076</v>
      </c>
      <c r="H21" s="1"/>
      <c r="I21" s="8">
        <f t="shared" si="0"/>
        <v>23.95</v>
      </c>
      <c r="J21" s="52">
        <f t="shared" ref="J21:J41" si="4">I21/I20-1</f>
        <v>-0.12654996353026993</v>
      </c>
      <c r="K21" s="48">
        <v>14409.78</v>
      </c>
      <c r="L21" s="52">
        <f t="shared" ref="L21:L41" si="5">K21/K20-1</f>
        <v>-2.0758071224118657E-2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27.35</v>
      </c>
      <c r="D22" s="47">
        <v>5.2900000000000003E-2</v>
      </c>
      <c r="E22" s="52">
        <f t="shared" si="1"/>
        <v>0.14196242171189999</v>
      </c>
      <c r="F22" s="53">
        <f t="shared" si="2"/>
        <v>4.0580821917808214E-3</v>
      </c>
      <c r="G22" s="51">
        <f t="shared" si="3"/>
        <v>0.13790433952011916</v>
      </c>
      <c r="H22" s="1"/>
      <c r="I22" s="8">
        <f t="shared" si="0"/>
        <v>27.35</v>
      </c>
      <c r="J22" s="52">
        <f t="shared" si="4"/>
        <v>0.14196242171189999</v>
      </c>
      <c r="K22" s="48">
        <v>15947.87</v>
      </c>
      <c r="L22" s="52">
        <f t="shared" si="5"/>
        <v>0.10673931177297646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C23">
        <v>28.43</v>
      </c>
      <c r="D23" s="47">
        <v>5.2900000000000003E-2</v>
      </c>
      <c r="E23" s="52">
        <f t="shared" si="1"/>
        <v>3.9488117001828194E-2</v>
      </c>
      <c r="F23" s="53">
        <f t="shared" si="2"/>
        <v>4.0580821917808214E-3</v>
      </c>
      <c r="G23" s="51">
        <f t="shared" si="3"/>
        <v>3.5430034810047376E-2</v>
      </c>
      <c r="H23" s="1"/>
      <c r="I23" s="8">
        <f t="shared" si="0"/>
        <v>28.43</v>
      </c>
      <c r="J23" s="52">
        <f t="shared" si="4"/>
        <v>3.9488117001828194E-2</v>
      </c>
      <c r="K23" s="48">
        <v>16825.93</v>
      </c>
      <c r="L23" s="52">
        <f t="shared" si="5"/>
        <v>5.5058136290300874E-2</v>
      </c>
      <c r="M23" s="1"/>
      <c r="N23" s="57" t="s">
        <v>51</v>
      </c>
      <c r="O23" s="58" t="s">
        <v>52</v>
      </c>
      <c r="P23" s="59" t="s">
        <v>44</v>
      </c>
      <c r="Q23" s="128">
        <v>1.4</v>
      </c>
      <c r="R23" s="61">
        <f>IF(Q23&gt;1.1,0,1)</f>
        <v>0</v>
      </c>
    </row>
    <row r="24" spans="2:18" x14ac:dyDescent="0.2">
      <c r="B24" s="46">
        <v>45261</v>
      </c>
      <c r="C24">
        <v>52.96</v>
      </c>
      <c r="D24" s="47">
        <v>5.33E-2</v>
      </c>
      <c r="E24" s="52">
        <f t="shared" si="1"/>
        <v>0.86282096377066475</v>
      </c>
      <c r="F24" s="53">
        <f t="shared" si="2"/>
        <v>4.0887671232876718E-3</v>
      </c>
      <c r="G24" s="51">
        <f t="shared" si="3"/>
        <v>0.8587321966473771</v>
      </c>
      <c r="H24" s="1"/>
      <c r="I24" s="8">
        <f t="shared" si="0"/>
        <v>52.96</v>
      </c>
      <c r="J24" s="52">
        <f t="shared" si="4"/>
        <v>0.86282096377066475</v>
      </c>
      <c r="K24" s="48">
        <v>17137.240000000002</v>
      </c>
      <c r="L24" s="52">
        <f t="shared" si="5"/>
        <v>1.8501800494831633E-2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86.61</v>
      </c>
      <c r="D25" s="47">
        <v>5.2699999999999997E-2</v>
      </c>
      <c r="E25" s="52">
        <f t="shared" si="1"/>
        <v>0.63538519637462243</v>
      </c>
      <c r="F25" s="53">
        <f t="shared" si="2"/>
        <v>4.0427397260273962E-3</v>
      </c>
      <c r="G25" s="51">
        <f t="shared" si="3"/>
        <v>0.63134245664859501</v>
      </c>
      <c r="H25" s="1"/>
      <c r="I25" s="8">
        <f t="shared" si="0"/>
        <v>86.61</v>
      </c>
      <c r="J25" s="52">
        <f t="shared" si="4"/>
        <v>0.63538519637462243</v>
      </c>
      <c r="K25" s="48">
        <v>18043.849999999999</v>
      </c>
      <c r="L25" s="52">
        <f t="shared" si="5"/>
        <v>5.2902917856084031E-2</v>
      </c>
      <c r="M25" s="1"/>
      <c r="N25" s="30"/>
      <c r="O25" s="64"/>
      <c r="P25" s="30" t="s">
        <v>23</v>
      </c>
      <c r="Q25" s="84">
        <f>Q10</f>
        <v>21.23</v>
      </c>
      <c r="R25" s="31"/>
    </row>
    <row r="26" spans="2:18" x14ac:dyDescent="0.2">
      <c r="B26" s="46">
        <v>45323</v>
      </c>
      <c r="C26">
        <v>101</v>
      </c>
      <c r="D26" s="47">
        <v>5.2999999999999999E-2</v>
      </c>
      <c r="E26" s="52">
        <f t="shared" si="1"/>
        <v>0.1661470961782705</v>
      </c>
      <c r="F26" s="53">
        <f t="shared" si="2"/>
        <v>4.0657534246575349E-3</v>
      </c>
      <c r="G26" s="51">
        <f t="shared" si="3"/>
        <v>0.16208134275361297</v>
      </c>
      <c r="H26" s="1"/>
      <c r="I26" s="8">
        <f t="shared" si="0"/>
        <v>101</v>
      </c>
      <c r="J26" s="52">
        <f t="shared" si="4"/>
        <v>0.1661470961782705</v>
      </c>
      <c r="K26" s="48">
        <v>18254.689999999999</v>
      </c>
      <c r="L26" s="52">
        <f t="shared" si="5"/>
        <v>1.1684867697304036E-2</v>
      </c>
      <c r="M26" s="1"/>
      <c r="N26" s="49" t="s">
        <v>54</v>
      </c>
      <c r="O26" s="64"/>
      <c r="P26" s="30" t="s">
        <v>55</v>
      </c>
      <c r="Q26" s="132">
        <f>1/Q25</f>
        <v>4.7103155911446065E-2</v>
      </c>
      <c r="R26" s="31">
        <f>IF(Q26&lt;Q19,0,1)</f>
        <v>1</v>
      </c>
    </row>
    <row r="27" spans="2:18" x14ac:dyDescent="0.2">
      <c r="B27" s="46">
        <v>45352</v>
      </c>
      <c r="C27">
        <v>85.88</v>
      </c>
      <c r="D27" s="47">
        <v>5.2900000000000003E-2</v>
      </c>
      <c r="E27" s="52">
        <f t="shared" si="1"/>
        <v>-0.14970297029702972</v>
      </c>
      <c r="F27" s="53">
        <f t="shared" si="2"/>
        <v>4.0580821917808214E-3</v>
      </c>
      <c r="G27" s="51">
        <f t="shared" si="3"/>
        <v>-0.15376105248881056</v>
      </c>
      <c r="H27" s="1"/>
      <c r="I27" s="8">
        <f t="shared" si="0"/>
        <v>85.88</v>
      </c>
      <c r="J27" s="52">
        <f t="shared" si="4"/>
        <v>-0.14970297029702972</v>
      </c>
      <c r="K27" s="48">
        <v>17440.689999999999</v>
      </c>
      <c r="L27" s="52">
        <f t="shared" si="5"/>
        <v>-4.4591280377809794E-2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78.45</v>
      </c>
      <c r="D28" s="47">
        <v>5.28E-2</v>
      </c>
      <c r="E28" s="52">
        <f t="shared" si="1"/>
        <v>-8.6516068933395363E-2</v>
      </c>
      <c r="F28" s="53">
        <f t="shared" si="2"/>
        <v>4.0504109589041097E-3</v>
      </c>
      <c r="G28" s="51">
        <f t="shared" si="3"/>
        <v>-9.0566479892299476E-2</v>
      </c>
      <c r="H28" s="1"/>
      <c r="I28" s="8">
        <f t="shared" si="0"/>
        <v>78.45</v>
      </c>
      <c r="J28" s="52">
        <f t="shared" si="4"/>
        <v>-8.6516068933395363E-2</v>
      </c>
      <c r="K28" s="48">
        <v>18536.650000000001</v>
      </c>
      <c r="L28" s="52">
        <f t="shared" si="5"/>
        <v>6.2839256933068688E-2</v>
      </c>
      <c r="M28" s="1"/>
      <c r="N28" s="30"/>
      <c r="O28" s="1"/>
      <c r="P28" s="30" t="s">
        <v>57</v>
      </c>
      <c r="Q28" s="51">
        <f>Q18</f>
        <v>0.10862900906547811</v>
      </c>
      <c r="R28" s="31"/>
    </row>
    <row r="29" spans="2:18" x14ac:dyDescent="0.2">
      <c r="B29" s="46">
        <v>45413</v>
      </c>
      <c r="C29">
        <v>81.93</v>
      </c>
      <c r="D29" s="47">
        <v>5.2699999999999997E-2</v>
      </c>
      <c r="E29" s="52">
        <f t="shared" si="1"/>
        <v>4.4359464627151013E-2</v>
      </c>
      <c r="F29" s="53">
        <f t="shared" si="2"/>
        <v>4.0427397260273962E-3</v>
      </c>
      <c r="G29" s="51">
        <f t="shared" si="3"/>
        <v>4.0316724901123618E-2</v>
      </c>
      <c r="H29" s="1"/>
      <c r="I29" s="8">
        <f t="shared" si="0"/>
        <v>81.93</v>
      </c>
      <c r="J29" s="52">
        <f t="shared" si="4"/>
        <v>4.4359464627151013E-2</v>
      </c>
      <c r="K29" s="48">
        <v>19682.87</v>
      </c>
      <c r="L29" s="52">
        <f t="shared" si="5"/>
        <v>6.1835337021522108E-2</v>
      </c>
      <c r="M29" s="1"/>
      <c r="N29" s="49" t="s">
        <v>117</v>
      </c>
      <c r="O29" s="1"/>
      <c r="P29" s="30" t="s">
        <v>58</v>
      </c>
      <c r="Q29" s="67">
        <v>6.8699999999999997E-2</v>
      </c>
      <c r="R29" s="31"/>
    </row>
    <row r="30" spans="2:18" ht="17" thickBot="1" x14ac:dyDescent="0.25">
      <c r="B30" s="46">
        <v>45444</v>
      </c>
      <c r="C30">
        <v>70.17</v>
      </c>
      <c r="D30" s="47">
        <v>5.2699999999999997E-2</v>
      </c>
      <c r="E30" s="52">
        <f t="shared" si="1"/>
        <v>-0.14353716587330656</v>
      </c>
      <c r="F30" s="53">
        <f t="shared" si="2"/>
        <v>4.0427397260273962E-3</v>
      </c>
      <c r="G30" s="51">
        <f t="shared" si="3"/>
        <v>-0.14757990559933395</v>
      </c>
      <c r="I30" s="8">
        <f t="shared" si="0"/>
        <v>70.17</v>
      </c>
      <c r="J30" s="52">
        <f t="shared" si="4"/>
        <v>-0.14353716587330656</v>
      </c>
      <c r="K30" s="48">
        <v>19362.43</v>
      </c>
      <c r="L30" s="52">
        <f t="shared" si="5"/>
        <v>-1.6280146137224838E-2</v>
      </c>
      <c r="M30" s="1"/>
      <c r="N30" s="1"/>
      <c r="O30" s="1"/>
      <c r="P30" s="33"/>
      <c r="Q30" s="68">
        <f>Q28-Q29</f>
        <v>3.992900906547811E-2</v>
      </c>
      <c r="R30" s="31">
        <f>IF(Q28&lt;Q29,0,1)</f>
        <v>1</v>
      </c>
    </row>
    <row r="31" spans="2:18" ht="17" thickBot="1" x14ac:dyDescent="0.25">
      <c r="B31" s="46">
        <v>45474</v>
      </c>
      <c r="C31">
        <v>43.77</v>
      </c>
      <c r="D31" s="47">
        <v>5.28E-2</v>
      </c>
      <c r="E31" s="52">
        <f t="shared" si="1"/>
        <v>-0.37622915775972632</v>
      </c>
      <c r="F31" s="53">
        <f t="shared" si="2"/>
        <v>4.0504109589041097E-3</v>
      </c>
      <c r="G31" s="51">
        <f t="shared" si="3"/>
        <v>-0.38027956871863045</v>
      </c>
      <c r="H31" s="1"/>
      <c r="I31" s="8">
        <f t="shared" si="0"/>
        <v>43.77</v>
      </c>
      <c r="J31" s="52">
        <f t="shared" si="4"/>
        <v>-0.37622915775972632</v>
      </c>
      <c r="K31" s="48">
        <v>19574.64</v>
      </c>
      <c r="L31" s="52">
        <f t="shared" si="5"/>
        <v>1.0959884683895416E-2</v>
      </c>
      <c r="M31" s="1"/>
      <c r="N31" s="1"/>
      <c r="O31" s="1"/>
      <c r="P31" s="30"/>
      <c r="Q31" s="69"/>
      <c r="R31" s="133">
        <f>SUM(R10:R30)/8</f>
        <v>0.625</v>
      </c>
    </row>
    <row r="32" spans="2:18" x14ac:dyDescent="0.2">
      <c r="B32" s="46">
        <v>45505</v>
      </c>
      <c r="C32">
        <v>41.64</v>
      </c>
      <c r="D32" s="47">
        <v>5.1799999999999999E-2</v>
      </c>
      <c r="E32" s="52">
        <f t="shared" si="1"/>
        <v>-4.8663468128855469E-2</v>
      </c>
      <c r="F32" s="53">
        <f t="shared" si="2"/>
        <v>3.9736986301369863E-3</v>
      </c>
      <c r="G32" s="51">
        <f t="shared" si="3"/>
        <v>-5.2637166758992458E-2</v>
      </c>
      <c r="H32" s="1"/>
      <c r="I32" s="8">
        <f t="shared" si="0"/>
        <v>41.64</v>
      </c>
      <c r="J32" s="52">
        <f t="shared" si="4"/>
        <v>-4.8663468128855469E-2</v>
      </c>
      <c r="K32" s="48">
        <v>20060.689999999999</v>
      </c>
      <c r="L32" s="52">
        <f t="shared" si="5"/>
        <v>2.4830597139972932E-2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29.11</v>
      </c>
      <c r="D33" s="47">
        <v>4.7399999999999998E-2</v>
      </c>
      <c r="E33" s="52">
        <f t="shared" si="1"/>
        <v>-0.3009125840537944</v>
      </c>
      <c r="F33" s="53">
        <f t="shared" si="2"/>
        <v>3.6361643835616433E-3</v>
      </c>
      <c r="G33" s="51">
        <f t="shared" si="3"/>
        <v>-0.30454874843735602</v>
      </c>
      <c r="H33" s="1"/>
      <c r="I33" s="8">
        <f t="shared" si="0"/>
        <v>29.11</v>
      </c>
      <c r="J33" s="52">
        <f t="shared" si="4"/>
        <v>-0.3009125840537944</v>
      </c>
      <c r="K33" s="48">
        <v>19890.41</v>
      </c>
      <c r="L33" s="52">
        <f t="shared" si="5"/>
        <v>-8.4882424283511115E-3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32.64</v>
      </c>
      <c r="D34" s="47">
        <v>4.58E-2</v>
      </c>
      <c r="E34" s="52">
        <f t="shared" si="1"/>
        <v>0.12126417038818271</v>
      </c>
      <c r="F34" s="53">
        <f t="shared" si="2"/>
        <v>3.5134246575342465E-3</v>
      </c>
      <c r="G34" s="51">
        <f t="shared" si="3"/>
        <v>0.11775074573064846</v>
      </c>
      <c r="H34" s="1"/>
      <c r="I34" s="8">
        <f t="shared" si="0"/>
        <v>32.64</v>
      </c>
      <c r="J34" s="52">
        <f t="shared" si="4"/>
        <v>0.12126417038818271</v>
      </c>
      <c r="K34" s="48">
        <v>20930.37</v>
      </c>
      <c r="L34" s="52">
        <f t="shared" si="5"/>
        <v>5.2284492878728939E-2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30.48</v>
      </c>
      <c r="D35" s="47">
        <v>4.5499999999999999E-2</v>
      </c>
      <c r="E35" s="52">
        <f t="shared" ref="E35:E40" si="6">C35/C34-1</f>
        <v>-6.6176470588235281E-2</v>
      </c>
      <c r="F35" s="53">
        <f t="shared" si="2"/>
        <v>3.4904109589041091E-3</v>
      </c>
      <c r="G35" s="51">
        <f t="shared" si="3"/>
        <v>-6.9666881547139389E-2</v>
      </c>
      <c r="H35" s="1"/>
      <c r="I35" s="8">
        <f>C35</f>
        <v>30.48</v>
      </c>
      <c r="J35" s="52">
        <f t="shared" si="4"/>
        <v>-6.6176470588235281E-2</v>
      </c>
      <c r="K35" s="48">
        <v>21012.17</v>
      </c>
      <c r="L35" s="52">
        <f t="shared" si="5"/>
        <v>3.9081965583980249E-3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28.52</v>
      </c>
      <c r="D36" s="47">
        <v>4.2200000000000001E-2</v>
      </c>
      <c r="E36" s="52">
        <f t="shared" si="6"/>
        <v>-6.4304461942257252E-2</v>
      </c>
      <c r="F36" s="53">
        <f t="shared" si="2"/>
        <v>3.2372602739726029E-3</v>
      </c>
      <c r="G36" s="51">
        <f t="shared" si="3"/>
        <v>-6.7541722216229852E-2</v>
      </c>
      <c r="H36" s="1"/>
      <c r="I36" s="8">
        <f>C36</f>
        <v>28.52</v>
      </c>
      <c r="J36" s="52">
        <f t="shared" si="4"/>
        <v>-6.4304461942257252E-2</v>
      </c>
      <c r="K36" s="48">
        <v>21478.05</v>
      </c>
      <c r="L36" s="52">
        <f t="shared" si="5"/>
        <v>2.2171912753418566E-2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41.46</v>
      </c>
      <c r="D37" s="47">
        <v>4.2599999999999999E-2</v>
      </c>
      <c r="E37" s="52">
        <f t="shared" si="6"/>
        <v>0.45371669004207571</v>
      </c>
      <c r="F37" s="53">
        <f t="shared" si="2"/>
        <v>3.267945205479452E-3</v>
      </c>
      <c r="G37" s="51">
        <f t="shared" si="3"/>
        <v>0.45044874483659625</v>
      </c>
      <c r="H37" s="1"/>
      <c r="I37" s="8">
        <f>C37</f>
        <v>41.46</v>
      </c>
      <c r="J37" s="52">
        <f t="shared" si="4"/>
        <v>0.45371669004207571</v>
      </c>
      <c r="K37" s="48">
        <v>20884.41</v>
      </c>
      <c r="L37" s="52">
        <f t="shared" si="5"/>
        <v>-2.7639380670032909E-2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34.24</v>
      </c>
      <c r="D38" s="47">
        <v>4.24E-2</v>
      </c>
      <c r="E38" s="52">
        <f t="shared" si="6"/>
        <v>-0.17414375301495411</v>
      </c>
      <c r="F38" s="53">
        <f t="shared" si="2"/>
        <v>3.2526027397260277E-3</v>
      </c>
      <c r="G38" s="51">
        <f t="shared" si="3"/>
        <v>-0.17739635575468013</v>
      </c>
      <c r="H38" s="1"/>
      <c r="I38" s="8">
        <f>C38</f>
        <v>34.24</v>
      </c>
      <c r="J38" s="52">
        <f t="shared" si="4"/>
        <v>-0.17414375301495411</v>
      </c>
      <c r="K38" s="48">
        <v>19278.45</v>
      </c>
      <c r="L38" s="52">
        <f t="shared" si="5"/>
        <v>-7.6897551810177989E-2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31.86</v>
      </c>
      <c r="D39" s="47">
        <v>4.24E-2</v>
      </c>
      <c r="E39" s="52">
        <f t="shared" si="6"/>
        <v>-6.9509345794392607E-2</v>
      </c>
      <c r="F39" s="53">
        <f t="shared" si="2"/>
        <v>3.2526027397260277E-3</v>
      </c>
      <c r="G39" s="51">
        <f t="shared" si="3"/>
        <v>-7.2761948534118631E-2</v>
      </c>
      <c r="H39" s="1"/>
      <c r="I39" s="8">
        <f>C39</f>
        <v>31.86</v>
      </c>
      <c r="J39" s="52">
        <f t="shared" si="4"/>
        <v>-6.9509345794392607E-2</v>
      </c>
      <c r="K39" s="48">
        <v>19571.02</v>
      </c>
      <c r="L39" s="52">
        <f t="shared" si="5"/>
        <v>1.51760125943734E-2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40.020000000000003</v>
      </c>
      <c r="D40" s="47">
        <v>4.2299999999999997E-2</v>
      </c>
      <c r="E40" s="52">
        <f t="shared" si="6"/>
        <v>0.25612052730696822</v>
      </c>
      <c r="F40" s="53">
        <f t="shared" si="2"/>
        <v>3.2449315068493151E-3</v>
      </c>
      <c r="G40" s="51">
        <f t="shared" si="3"/>
        <v>0.25287559580011892</v>
      </c>
      <c r="H40" s="1"/>
      <c r="I40" s="8">
        <f t="shared" si="0"/>
        <v>40.020000000000003</v>
      </c>
      <c r="J40" s="52">
        <f t="shared" si="4"/>
        <v>0.25612052730696822</v>
      </c>
      <c r="K40" s="48">
        <v>21340.99</v>
      </c>
      <c r="L40" s="52">
        <f t="shared" si="5"/>
        <v>9.04383113399303E-2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41.56</v>
      </c>
      <c r="D41" s="47">
        <v>4.2200000000000001E-2</v>
      </c>
      <c r="E41" s="52">
        <f t="shared" si="1"/>
        <v>3.848075962018993E-2</v>
      </c>
      <c r="F41" s="53">
        <f t="shared" si="2"/>
        <v>3.2372602739726029E-3</v>
      </c>
      <c r="G41" s="51">
        <f t="shared" si="3"/>
        <v>3.524349934621733E-2</v>
      </c>
      <c r="H41" s="1"/>
      <c r="I41" s="8">
        <f t="shared" si="0"/>
        <v>41.56</v>
      </c>
      <c r="J41" s="52">
        <f t="shared" si="4"/>
        <v>3.848075962018993E-2</v>
      </c>
      <c r="K41" s="48">
        <v>21913.32</v>
      </c>
      <c r="L41" s="52">
        <f t="shared" si="5"/>
        <v>2.6818343478910656E-2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4.8520720761055798E-2</v>
      </c>
      <c r="H43" s="1"/>
      <c r="I43" s="1"/>
      <c r="J43" s="1"/>
      <c r="K43" s="48" t="s">
        <v>65</v>
      </c>
      <c r="L43" s="82">
        <f>COVAR(J20:J41,L20:L41)</f>
        <v>3.8381890324740496E-3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2.111160292142152E-3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1.8180471879657778</v>
      </c>
    </row>
  </sheetData>
  <mergeCells count="1">
    <mergeCell ref="B4:D4"/>
  </mergeCells>
  <conditionalFormatting sqref="S10">
    <cfRule type="expression" dxfId="341" priority="19">
      <formula>IF($Q$10&gt;$Q$11,1,0)</formula>
    </cfRule>
  </conditionalFormatting>
  <conditionalFormatting sqref="Q10">
    <cfRule type="expression" dxfId="340" priority="10">
      <formula>IF($Q$10&lt;$Q$11,1,0)</formula>
    </cfRule>
    <cfRule type="expression" dxfId="339" priority="18">
      <formula>IF($Q$10&gt;$Q$11,1,0)</formula>
    </cfRule>
  </conditionalFormatting>
  <conditionalFormatting sqref="Q12">
    <cfRule type="expression" dxfId="338" priority="9">
      <formula>IF($Q$12&gt;$Q$13,1,0)</formula>
    </cfRule>
    <cfRule type="expression" dxfId="337" priority="17">
      <formula>IF($Q$12&lt;$Q$13,1,0)</formula>
    </cfRule>
  </conditionalFormatting>
  <conditionalFormatting sqref="Q14">
    <cfRule type="expression" dxfId="336" priority="16">
      <formula>IF($Q$15="Sell",1,0)</formula>
    </cfRule>
  </conditionalFormatting>
  <conditionalFormatting sqref="Q14:Q15">
    <cfRule type="expression" dxfId="335" priority="15">
      <formula>IF($Q$15="Buy",1,0)</formula>
    </cfRule>
  </conditionalFormatting>
  <conditionalFormatting sqref="Q16">
    <cfRule type="expression" dxfId="334" priority="13">
      <formula>IF($Q$16&lt;$Q$17,1,0)</formula>
    </cfRule>
    <cfRule type="expression" dxfId="333" priority="14">
      <formula>IF($Q$16&gt;$Q$17,1,0)</formula>
    </cfRule>
  </conditionalFormatting>
  <conditionalFormatting sqref="Q18">
    <cfRule type="expression" dxfId="332" priority="11">
      <formula>IF($Q$18&lt;$Q$19,1,0)</formula>
    </cfRule>
    <cfRule type="expression" dxfId="331" priority="12">
      <formula>IF($Q$18&gt;$Q$19,1,0)</formula>
    </cfRule>
  </conditionalFormatting>
  <conditionalFormatting sqref="Q23">
    <cfRule type="expression" dxfId="330" priority="7">
      <formula>IF($Q$23&lt;1.1,1,0)</formula>
    </cfRule>
    <cfRule type="expression" dxfId="329" priority="8">
      <formula>IF($Q$23&gt;1.1,1,0)</formula>
    </cfRule>
  </conditionalFormatting>
  <conditionalFormatting sqref="Q26">
    <cfRule type="expression" dxfId="328" priority="5">
      <formula>IF($Q$26&lt;$Q$19,1,0)</formula>
    </cfRule>
    <cfRule type="expression" dxfId="327" priority="6">
      <formula>IF($Q$26&gt;$Q$19,1,0)</formula>
    </cfRule>
  </conditionalFormatting>
  <conditionalFormatting sqref="Q30">
    <cfRule type="expression" dxfId="326" priority="3">
      <formula>IF($Q$28&lt;$Q$29,1,0)</formula>
    </cfRule>
    <cfRule type="expression" dxfId="325" priority="4">
      <formula>IF($Q$28&gt;$Q$29,1,0)</formula>
    </cfRule>
  </conditionalFormatting>
  <conditionalFormatting sqref="R31">
    <cfRule type="expression" dxfId="324" priority="1">
      <formula>IF($R$31&lt;0.485,1,0)</formula>
    </cfRule>
    <cfRule type="expression" dxfId="323" priority="2">
      <formula>IF($R$31&gt;0.49,1,0)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D14AB-CD30-46BA-9C39-5DD99EE9412A}">
  <sheetPr codeName="Sheet26"/>
  <dimension ref="B2:R45"/>
  <sheetViews>
    <sheetView topLeftCell="K1" zoomScale="85" zoomScaleNormal="85" workbookViewId="0">
      <selection activeCell="Q15" sqref="Q15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194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193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SOUN</v>
      </c>
      <c r="R5" s="8"/>
    </row>
    <row r="6" spans="2:18" x14ac:dyDescent="0.2">
      <c r="B6" s="1" t="s">
        <v>4</v>
      </c>
      <c r="C6" s="1" t="s">
        <v>62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NASDAQ</v>
      </c>
      <c r="R6" s="8"/>
    </row>
    <row r="7" spans="2:18" x14ac:dyDescent="0.2">
      <c r="B7" s="1" t="s">
        <v>7</v>
      </c>
      <c r="C7" s="13">
        <v>45822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9.1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-19.45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-0.53</v>
      </c>
      <c r="R11" s="31">
        <f>IF(Q10&gt;Q11,0,1)</f>
        <v>1</v>
      </c>
    </row>
    <row r="12" spans="2:18" x14ac:dyDescent="0.2">
      <c r="B12" s="1" t="s">
        <v>26</v>
      </c>
      <c r="C12" s="32">
        <f>Q23</f>
        <v>2.87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-0.06</v>
      </c>
      <c r="R12" s="25"/>
    </row>
    <row r="13" spans="2:18" x14ac:dyDescent="0.2">
      <c r="B13" s="1" t="s">
        <v>30</v>
      </c>
      <c r="C13" s="26">
        <f>G43</f>
        <v>0.1912108542779172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-0.09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0.58947515177762233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-0.192</v>
      </c>
      <c r="R14" s="31"/>
    </row>
    <row r="15" spans="2:18" ht="19" x14ac:dyDescent="0.25">
      <c r="B15" s="1" t="s">
        <v>36</v>
      </c>
      <c r="C15" s="39">
        <f>C10*(1+C14)</f>
        <v>14.464223881176361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f>IF(Q15="Sell",0,1)</f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-312.61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35.9</v>
      </c>
      <c r="R17" s="42">
        <f>IF(Q16&lt;Q17,0,1)</f>
        <v>0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SoundHound AI Inc</v>
      </c>
      <c r="J18" s="34" t="s">
        <v>45</v>
      </c>
      <c r="K18" s="34" t="str">
        <f>_xlfn.CONCAT("Precio ",C6)</f>
        <v>Precio NASDAQ</v>
      </c>
      <c r="L18" s="34" t="s">
        <v>46</v>
      </c>
      <c r="M18" s="1"/>
      <c r="N18" s="21"/>
      <c r="O18" s="22"/>
      <c r="P18" s="23" t="s">
        <v>47</v>
      </c>
      <c r="Q18" s="137">
        <f>C14</f>
        <v>0.58947515177762233</v>
      </c>
      <c r="R18" s="25"/>
    </row>
    <row r="19" spans="2:18" x14ac:dyDescent="0.2">
      <c r="B19" s="46">
        <v>45108</v>
      </c>
      <c r="C19">
        <v>2.52</v>
      </c>
      <c r="D19" s="47">
        <v>5.2699999999999997E-2</v>
      </c>
      <c r="E19" s="1"/>
      <c r="F19" s="1"/>
      <c r="G19" s="1"/>
      <c r="H19" s="1"/>
      <c r="I19" s="8">
        <f>C19</f>
        <v>2.52</v>
      </c>
      <c r="J19" s="8"/>
      <c r="K19" s="48">
        <v>15501.07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2.0099999999999998</v>
      </c>
      <c r="D20" s="47">
        <v>5.28E-2</v>
      </c>
      <c r="E20" s="52">
        <f>C20/C19-1</f>
        <v>-0.20238095238095244</v>
      </c>
      <c r="F20" s="53">
        <f>D20/365*28</f>
        <v>4.0504109589041097E-3</v>
      </c>
      <c r="G20" s="51">
        <f>E20-F20</f>
        <v>-0.20643136333985654</v>
      </c>
      <c r="H20" s="1"/>
      <c r="I20" s="8">
        <f t="shared" ref="I20:I41" si="0">C20</f>
        <v>2.0099999999999998</v>
      </c>
      <c r="J20" s="52">
        <f>I20/I19-1</f>
        <v>-0.20238095238095244</v>
      </c>
      <c r="K20" s="48">
        <v>14715.24</v>
      </c>
      <c r="L20" s="52">
        <f>K20/K19-1</f>
        <v>-5.0695210072595032E-2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1.59</v>
      </c>
      <c r="D21" s="47">
        <v>5.2900000000000003E-2</v>
      </c>
      <c r="E21" s="52">
        <f t="shared" ref="E21:E41" si="1">C21/C20-1</f>
        <v>-0.20895522388059684</v>
      </c>
      <c r="F21" s="53">
        <f t="shared" ref="F21:F41" si="2">D21/365*28</f>
        <v>4.0580821917808214E-3</v>
      </c>
      <c r="G21" s="51">
        <f t="shared" ref="G21:G41" si="3">E21-F21</f>
        <v>-0.21301330607237767</v>
      </c>
      <c r="H21" s="1"/>
      <c r="I21" s="8">
        <f t="shared" si="0"/>
        <v>1.59</v>
      </c>
      <c r="J21" s="52">
        <f t="shared" ref="J21:J41" si="4">I21/I20-1</f>
        <v>-0.20895522388059684</v>
      </c>
      <c r="K21" s="48">
        <v>14409.78</v>
      </c>
      <c r="L21" s="52">
        <f t="shared" ref="L21:L41" si="5">K21/K20-1</f>
        <v>-2.0758071224118657E-2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2.14</v>
      </c>
      <c r="D22" s="47">
        <v>5.2900000000000003E-2</v>
      </c>
      <c r="E22" s="52">
        <f t="shared" si="1"/>
        <v>0.34591194968553451</v>
      </c>
      <c r="F22" s="53">
        <f t="shared" si="2"/>
        <v>4.0580821917808214E-3</v>
      </c>
      <c r="G22" s="51">
        <f t="shared" si="3"/>
        <v>0.34185386749375368</v>
      </c>
      <c r="H22" s="1"/>
      <c r="I22" s="8">
        <f t="shared" si="0"/>
        <v>2.14</v>
      </c>
      <c r="J22" s="52">
        <f t="shared" si="4"/>
        <v>0.34591194968553451</v>
      </c>
      <c r="K22" s="48">
        <v>15947.87</v>
      </c>
      <c r="L22" s="52">
        <f t="shared" si="5"/>
        <v>0.10673931177297646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C23">
        <v>2.12</v>
      </c>
      <c r="D23" s="47">
        <v>5.2900000000000003E-2</v>
      </c>
      <c r="E23" s="52">
        <f t="shared" si="1"/>
        <v>-9.3457943925233655E-3</v>
      </c>
      <c r="F23" s="53">
        <f t="shared" si="2"/>
        <v>4.0580821917808214E-3</v>
      </c>
      <c r="G23" s="51">
        <f t="shared" si="3"/>
        <v>-1.3403876584304187E-2</v>
      </c>
      <c r="H23" s="1"/>
      <c r="I23" s="8">
        <f t="shared" si="0"/>
        <v>2.12</v>
      </c>
      <c r="J23" s="52">
        <f t="shared" si="4"/>
        <v>-9.3457943925233655E-3</v>
      </c>
      <c r="K23" s="48">
        <v>16825.93</v>
      </c>
      <c r="L23" s="52">
        <f t="shared" si="5"/>
        <v>5.5058136290300874E-2</v>
      </c>
      <c r="M23" s="1"/>
      <c r="N23" s="57" t="s">
        <v>51</v>
      </c>
      <c r="O23" s="58" t="s">
        <v>52</v>
      </c>
      <c r="P23" s="59" t="s">
        <v>44</v>
      </c>
      <c r="Q23" s="128">
        <v>2.87</v>
      </c>
      <c r="R23" s="61">
        <f>IF(Q23&gt;1.1,0,1)</f>
        <v>0</v>
      </c>
    </row>
    <row r="24" spans="2:18" x14ac:dyDescent="0.2">
      <c r="B24" s="46">
        <v>45261</v>
      </c>
      <c r="C24">
        <v>1.66</v>
      </c>
      <c r="D24" s="47">
        <v>5.33E-2</v>
      </c>
      <c r="E24" s="52">
        <f t="shared" si="1"/>
        <v>-0.21698113207547176</v>
      </c>
      <c r="F24" s="53">
        <f t="shared" si="2"/>
        <v>4.0887671232876718E-3</v>
      </c>
      <c r="G24" s="51">
        <f t="shared" si="3"/>
        <v>-0.22106989919875944</v>
      </c>
      <c r="H24" s="1"/>
      <c r="I24" s="8">
        <f t="shared" si="0"/>
        <v>1.66</v>
      </c>
      <c r="J24" s="52">
        <f t="shared" si="4"/>
        <v>-0.21698113207547176</v>
      </c>
      <c r="K24" s="48">
        <v>17137.240000000002</v>
      </c>
      <c r="L24" s="52">
        <f t="shared" si="5"/>
        <v>1.8501800494831633E-2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7.42</v>
      </c>
      <c r="D25" s="47">
        <v>5.2699999999999997E-2</v>
      </c>
      <c r="E25" s="52">
        <f t="shared" si="1"/>
        <v>3.4698795180722897</v>
      </c>
      <c r="F25" s="53">
        <f t="shared" si="2"/>
        <v>4.0427397260273962E-3</v>
      </c>
      <c r="G25" s="51">
        <f t="shared" si="3"/>
        <v>3.4658367783462625</v>
      </c>
      <c r="H25" s="1"/>
      <c r="I25" s="8">
        <f t="shared" si="0"/>
        <v>7.42</v>
      </c>
      <c r="J25" s="52">
        <f t="shared" si="4"/>
        <v>3.4698795180722897</v>
      </c>
      <c r="K25" s="48">
        <v>18043.849999999999</v>
      </c>
      <c r="L25" s="52">
        <f t="shared" si="5"/>
        <v>5.2902917856084031E-2</v>
      </c>
      <c r="M25" s="1"/>
      <c r="N25" s="30"/>
      <c r="O25" s="64"/>
      <c r="P25" s="30" t="s">
        <v>23</v>
      </c>
      <c r="Q25" s="84">
        <f>Q10</f>
        <v>-19.45</v>
      </c>
      <c r="R25" s="31"/>
    </row>
    <row r="26" spans="2:18" x14ac:dyDescent="0.2">
      <c r="B26" s="46">
        <v>45323</v>
      </c>
      <c r="C26">
        <v>5.89</v>
      </c>
      <c r="D26" s="47">
        <v>5.2999999999999999E-2</v>
      </c>
      <c r="E26" s="52">
        <f t="shared" si="1"/>
        <v>-0.20619946091644203</v>
      </c>
      <c r="F26" s="53">
        <f t="shared" si="2"/>
        <v>4.0657534246575349E-3</v>
      </c>
      <c r="G26" s="51">
        <f t="shared" si="3"/>
        <v>-0.21026521434109957</v>
      </c>
      <c r="H26" s="1"/>
      <c r="I26" s="8">
        <f t="shared" si="0"/>
        <v>5.89</v>
      </c>
      <c r="J26" s="52">
        <f t="shared" si="4"/>
        <v>-0.20619946091644203</v>
      </c>
      <c r="K26" s="48">
        <v>18254.689999999999</v>
      </c>
      <c r="L26" s="52">
        <f t="shared" si="5"/>
        <v>1.1684867697304036E-2</v>
      </c>
      <c r="M26" s="1"/>
      <c r="N26" s="49" t="s">
        <v>54</v>
      </c>
      <c r="O26" s="64"/>
      <c r="P26" s="30" t="s">
        <v>55</v>
      </c>
      <c r="Q26" s="132">
        <f>1/Q25</f>
        <v>-5.1413881748071981E-2</v>
      </c>
      <c r="R26" s="31">
        <f>IF(Q26&lt;Q19,0,1)</f>
        <v>0</v>
      </c>
    </row>
    <row r="27" spans="2:18" x14ac:dyDescent="0.2">
      <c r="B27" s="46">
        <v>45352</v>
      </c>
      <c r="C27">
        <v>4.24</v>
      </c>
      <c r="D27" s="47">
        <v>5.2900000000000003E-2</v>
      </c>
      <c r="E27" s="52">
        <f t="shared" si="1"/>
        <v>-0.28013582342954158</v>
      </c>
      <c r="F27" s="53">
        <f t="shared" si="2"/>
        <v>4.0580821917808214E-3</v>
      </c>
      <c r="G27" s="51">
        <f t="shared" si="3"/>
        <v>-0.28419390562132241</v>
      </c>
      <c r="H27" s="1"/>
      <c r="I27" s="8">
        <f t="shared" si="0"/>
        <v>4.24</v>
      </c>
      <c r="J27" s="52">
        <f t="shared" si="4"/>
        <v>-0.28013582342954158</v>
      </c>
      <c r="K27" s="48">
        <v>17440.689999999999</v>
      </c>
      <c r="L27" s="52">
        <f t="shared" si="5"/>
        <v>-4.4591280377809794E-2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5.05</v>
      </c>
      <c r="D28" s="47">
        <v>5.28E-2</v>
      </c>
      <c r="E28" s="52">
        <f t="shared" si="1"/>
        <v>0.19103773584905648</v>
      </c>
      <c r="F28" s="53">
        <f t="shared" si="2"/>
        <v>4.0504109589041097E-3</v>
      </c>
      <c r="G28" s="51">
        <f t="shared" si="3"/>
        <v>0.18698732489015238</v>
      </c>
      <c r="H28" s="1"/>
      <c r="I28" s="8">
        <f t="shared" si="0"/>
        <v>5.05</v>
      </c>
      <c r="J28" s="52">
        <f t="shared" si="4"/>
        <v>0.19103773584905648</v>
      </c>
      <c r="K28" s="48">
        <v>18536.650000000001</v>
      </c>
      <c r="L28" s="52">
        <f t="shared" si="5"/>
        <v>6.2839256933068688E-2</v>
      </c>
      <c r="M28" s="1"/>
      <c r="N28" s="30"/>
      <c r="O28" s="1"/>
      <c r="P28" s="30" t="s">
        <v>57</v>
      </c>
      <c r="Q28" s="51">
        <f>Q18</f>
        <v>0.58947515177762233</v>
      </c>
      <c r="R28" s="31"/>
    </row>
    <row r="29" spans="2:18" x14ac:dyDescent="0.2">
      <c r="B29" s="46">
        <v>45413</v>
      </c>
      <c r="C29">
        <v>3.95</v>
      </c>
      <c r="D29" s="47">
        <v>5.2699999999999997E-2</v>
      </c>
      <c r="E29" s="52">
        <f t="shared" si="1"/>
        <v>-0.21782178217821779</v>
      </c>
      <c r="F29" s="53">
        <f t="shared" si="2"/>
        <v>4.0427397260273962E-3</v>
      </c>
      <c r="G29" s="51">
        <f t="shared" si="3"/>
        <v>-0.22186452190424519</v>
      </c>
      <c r="H29" s="1"/>
      <c r="I29" s="8">
        <f t="shared" si="0"/>
        <v>3.95</v>
      </c>
      <c r="J29" s="52">
        <f t="shared" si="4"/>
        <v>-0.21782178217821779</v>
      </c>
      <c r="K29" s="48">
        <v>19682.87</v>
      </c>
      <c r="L29" s="52">
        <f t="shared" si="5"/>
        <v>6.1835337021522108E-2</v>
      </c>
      <c r="M29" s="1"/>
      <c r="N29" s="49" t="s">
        <v>117</v>
      </c>
      <c r="O29" s="1"/>
      <c r="P29" s="30" t="s">
        <v>58</v>
      </c>
      <c r="Q29" s="67">
        <v>-0.19183</v>
      </c>
      <c r="R29" s="31"/>
    </row>
    <row r="30" spans="2:18" ht="17" thickBot="1" x14ac:dyDescent="0.25">
      <c r="B30" s="46">
        <v>45444</v>
      </c>
      <c r="C30">
        <v>5.09</v>
      </c>
      <c r="D30" s="47">
        <v>5.2699999999999997E-2</v>
      </c>
      <c r="E30" s="52">
        <f t="shared" si="1"/>
        <v>0.28860759493670884</v>
      </c>
      <c r="F30" s="53">
        <f t="shared" si="2"/>
        <v>4.0427397260273962E-3</v>
      </c>
      <c r="G30" s="51">
        <f t="shared" si="3"/>
        <v>0.28456485521068142</v>
      </c>
      <c r="I30" s="8">
        <f t="shared" si="0"/>
        <v>5.09</v>
      </c>
      <c r="J30" s="52">
        <f t="shared" si="4"/>
        <v>0.28860759493670884</v>
      </c>
      <c r="K30" s="48">
        <v>19362.43</v>
      </c>
      <c r="L30" s="52">
        <f t="shared" si="5"/>
        <v>-1.6280146137224838E-2</v>
      </c>
      <c r="M30" s="1"/>
      <c r="N30" s="1"/>
      <c r="O30" s="1"/>
      <c r="P30" s="33"/>
      <c r="Q30" s="68">
        <f>Q28-Q29</f>
        <v>0.78130515177762239</v>
      </c>
      <c r="R30" s="31">
        <f>IF(Q28&lt;Q29,0,1)</f>
        <v>1</v>
      </c>
    </row>
    <row r="31" spans="2:18" ht="17" thickBot="1" x14ac:dyDescent="0.25">
      <c r="B31" s="46">
        <v>45474</v>
      </c>
      <c r="C31">
        <v>4.8899999999999997</v>
      </c>
      <c r="D31" s="47">
        <v>5.28E-2</v>
      </c>
      <c r="E31" s="52">
        <f t="shared" si="1"/>
        <v>-3.9292730844793788E-2</v>
      </c>
      <c r="F31" s="53">
        <f t="shared" si="2"/>
        <v>4.0504109589041097E-3</v>
      </c>
      <c r="G31" s="51">
        <f t="shared" si="3"/>
        <v>-4.3343141803697902E-2</v>
      </c>
      <c r="H31" s="1"/>
      <c r="I31" s="8">
        <f t="shared" si="0"/>
        <v>4.8899999999999997</v>
      </c>
      <c r="J31" s="52">
        <f t="shared" si="4"/>
        <v>-3.9292730844793788E-2</v>
      </c>
      <c r="K31" s="48">
        <v>19574.64</v>
      </c>
      <c r="L31" s="52">
        <f t="shared" si="5"/>
        <v>1.0959884683895416E-2</v>
      </c>
      <c r="M31" s="1"/>
      <c r="N31" s="1"/>
      <c r="O31" s="1"/>
      <c r="P31" s="30"/>
      <c r="Q31" s="69"/>
      <c r="R31" s="133">
        <f>SUM(R10:R30)/8</f>
        <v>0.5</v>
      </c>
    </row>
    <row r="32" spans="2:18" x14ac:dyDescent="0.2">
      <c r="B32" s="46">
        <v>45505</v>
      </c>
      <c r="C32">
        <v>4.66</v>
      </c>
      <c r="D32" s="47">
        <v>5.1799999999999999E-2</v>
      </c>
      <c r="E32" s="52">
        <f t="shared" si="1"/>
        <v>-4.7034764826175746E-2</v>
      </c>
      <c r="F32" s="53">
        <f t="shared" si="2"/>
        <v>3.9736986301369863E-3</v>
      </c>
      <c r="G32" s="51">
        <f t="shared" si="3"/>
        <v>-5.1008463456312735E-2</v>
      </c>
      <c r="H32" s="1"/>
      <c r="I32" s="8">
        <f t="shared" si="0"/>
        <v>4.66</v>
      </c>
      <c r="J32" s="52">
        <f t="shared" si="4"/>
        <v>-4.7034764826175746E-2</v>
      </c>
      <c r="K32" s="48">
        <v>20060.689999999999</v>
      </c>
      <c r="L32" s="52">
        <f t="shared" si="5"/>
        <v>2.4830597139972932E-2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5.03</v>
      </c>
      <c r="D33" s="47">
        <v>4.7399999999999998E-2</v>
      </c>
      <c r="E33" s="52">
        <f t="shared" si="1"/>
        <v>7.9399141630901227E-2</v>
      </c>
      <c r="F33" s="53">
        <f t="shared" si="2"/>
        <v>3.6361643835616433E-3</v>
      </c>
      <c r="G33" s="51">
        <f t="shared" si="3"/>
        <v>7.5762977247339588E-2</v>
      </c>
      <c r="H33" s="1"/>
      <c r="I33" s="8">
        <f t="shared" si="0"/>
        <v>5.03</v>
      </c>
      <c r="J33" s="52">
        <f t="shared" si="4"/>
        <v>7.9399141630901227E-2</v>
      </c>
      <c r="K33" s="48">
        <v>19890.41</v>
      </c>
      <c r="L33" s="52">
        <f t="shared" si="5"/>
        <v>-8.4882424283511115E-3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9.31</v>
      </c>
      <c r="D34" s="47">
        <v>4.58E-2</v>
      </c>
      <c r="E34" s="52">
        <f t="shared" si="1"/>
        <v>0.85089463220675943</v>
      </c>
      <c r="F34" s="53">
        <f t="shared" si="2"/>
        <v>3.5134246575342465E-3</v>
      </c>
      <c r="G34" s="51">
        <f t="shared" si="3"/>
        <v>0.84738120754922519</v>
      </c>
      <c r="H34" s="1"/>
      <c r="I34" s="8">
        <f t="shared" si="0"/>
        <v>9.31</v>
      </c>
      <c r="J34" s="52">
        <f t="shared" si="4"/>
        <v>0.85089463220675943</v>
      </c>
      <c r="K34" s="48">
        <v>20930.37</v>
      </c>
      <c r="L34" s="52">
        <f t="shared" si="5"/>
        <v>5.2284492878728939E-2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19.84</v>
      </c>
      <c r="D35" s="47">
        <v>4.5499999999999999E-2</v>
      </c>
      <c r="E35" s="52">
        <f t="shared" si="1"/>
        <v>1.1310418904403865</v>
      </c>
      <c r="F35" s="53">
        <f t="shared" si="2"/>
        <v>3.4904109589041091E-3</v>
      </c>
      <c r="G35" s="51">
        <f t="shared" si="3"/>
        <v>1.1275514794814825</v>
      </c>
      <c r="H35" s="1"/>
      <c r="I35" s="8">
        <f t="shared" si="0"/>
        <v>19.84</v>
      </c>
      <c r="J35" s="52">
        <f t="shared" si="4"/>
        <v>1.1310418904403865</v>
      </c>
      <c r="K35" s="48">
        <v>21012.17</v>
      </c>
      <c r="L35" s="52">
        <f t="shared" si="5"/>
        <v>3.9081965583980249E-3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14.15</v>
      </c>
      <c r="D36" s="47">
        <v>4.2200000000000001E-2</v>
      </c>
      <c r="E36" s="52">
        <f t="shared" si="1"/>
        <v>-0.28679435483870963</v>
      </c>
      <c r="F36" s="53">
        <f t="shared" si="2"/>
        <v>3.2372602739726029E-3</v>
      </c>
      <c r="G36" s="51">
        <f t="shared" si="3"/>
        <v>-0.29003161511268222</v>
      </c>
      <c r="H36" s="1"/>
      <c r="I36" s="8">
        <f t="shared" si="0"/>
        <v>14.15</v>
      </c>
      <c r="J36" s="52">
        <f t="shared" si="4"/>
        <v>-0.28679435483870963</v>
      </c>
      <c r="K36" s="48">
        <v>21478.05</v>
      </c>
      <c r="L36" s="52">
        <f t="shared" si="5"/>
        <v>2.2171912753418566E-2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10.82</v>
      </c>
      <c r="D37" s="47">
        <v>4.2599999999999999E-2</v>
      </c>
      <c r="E37" s="52">
        <f t="shared" si="1"/>
        <v>-0.23533568904593638</v>
      </c>
      <c r="F37" s="53">
        <f t="shared" si="2"/>
        <v>3.267945205479452E-3</v>
      </c>
      <c r="G37" s="51">
        <f t="shared" si="3"/>
        <v>-0.23860363425141584</v>
      </c>
      <c r="H37" s="1"/>
      <c r="I37" s="8">
        <f t="shared" si="0"/>
        <v>10.82</v>
      </c>
      <c r="J37" s="52">
        <f t="shared" si="4"/>
        <v>-0.23533568904593638</v>
      </c>
      <c r="K37" s="48">
        <v>20884.41</v>
      </c>
      <c r="L37" s="52">
        <f t="shared" si="5"/>
        <v>-2.7639380670032909E-2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8.1199999999999992</v>
      </c>
      <c r="D38" s="47">
        <v>4.24E-2</v>
      </c>
      <c r="E38" s="52">
        <f t="shared" si="1"/>
        <v>-0.24953789279112759</v>
      </c>
      <c r="F38" s="53">
        <f t="shared" si="2"/>
        <v>3.2526027397260277E-3</v>
      </c>
      <c r="G38" s="51">
        <f t="shared" si="3"/>
        <v>-0.25279049553085364</v>
      </c>
      <c r="H38" s="1"/>
      <c r="I38" s="8">
        <f t="shared" si="0"/>
        <v>8.1199999999999992</v>
      </c>
      <c r="J38" s="52">
        <f t="shared" si="4"/>
        <v>-0.24953789279112759</v>
      </c>
      <c r="K38" s="48">
        <v>19278.45</v>
      </c>
      <c r="L38" s="52">
        <f t="shared" si="5"/>
        <v>-7.6897551810177989E-2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9.2899999999999991</v>
      </c>
      <c r="D39" s="47">
        <v>4.24E-2</v>
      </c>
      <c r="E39" s="52">
        <f t="shared" si="1"/>
        <v>0.14408866995073888</v>
      </c>
      <c r="F39" s="53">
        <f t="shared" si="2"/>
        <v>3.2526027397260277E-3</v>
      </c>
      <c r="G39" s="51">
        <f t="shared" si="3"/>
        <v>0.14083606721101286</v>
      </c>
      <c r="H39" s="1"/>
      <c r="I39" s="8">
        <f t="shared" si="0"/>
        <v>9.2899999999999991</v>
      </c>
      <c r="J39" s="52">
        <f t="shared" si="4"/>
        <v>0.14408866995073888</v>
      </c>
      <c r="K39" s="48">
        <v>19571.02</v>
      </c>
      <c r="L39" s="52">
        <f t="shared" si="5"/>
        <v>1.51760125943734E-2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10.11</v>
      </c>
      <c r="D40" s="47">
        <v>4.2299999999999997E-2</v>
      </c>
      <c r="E40" s="52">
        <f t="shared" si="1"/>
        <v>8.8266953713670659E-2</v>
      </c>
      <c r="F40" s="53">
        <f t="shared" si="2"/>
        <v>3.2449315068493151E-3</v>
      </c>
      <c r="G40" s="51">
        <f t="shared" si="3"/>
        <v>8.502202220682134E-2</v>
      </c>
      <c r="H40" s="1"/>
      <c r="I40" s="8">
        <f t="shared" si="0"/>
        <v>10.11</v>
      </c>
      <c r="J40" s="52">
        <f t="shared" si="4"/>
        <v>8.8266953713670659E-2</v>
      </c>
      <c r="K40" s="48">
        <v>21340.99</v>
      </c>
      <c r="L40" s="52">
        <f t="shared" si="5"/>
        <v>9.04383113399303E-2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9.1</v>
      </c>
      <c r="D41" s="47">
        <v>4.2200000000000001E-2</v>
      </c>
      <c r="E41" s="52">
        <f t="shared" si="1"/>
        <v>-9.9901088031651764E-2</v>
      </c>
      <c r="F41" s="53">
        <f t="shared" si="2"/>
        <v>3.2372602739726029E-3</v>
      </c>
      <c r="G41" s="51">
        <f t="shared" si="3"/>
        <v>-0.10313834830562436</v>
      </c>
      <c r="H41" s="1"/>
      <c r="I41" s="8">
        <f t="shared" si="0"/>
        <v>9.1</v>
      </c>
      <c r="J41" s="52">
        <f t="shared" si="4"/>
        <v>-9.9901088031651764E-2</v>
      </c>
      <c r="K41" s="48">
        <v>21913.32</v>
      </c>
      <c r="L41" s="52">
        <f t="shared" si="5"/>
        <v>2.6818343478910656E-2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0.1912108542779172</v>
      </c>
      <c r="H43" s="1"/>
      <c r="I43" s="1"/>
      <c r="J43" s="1"/>
      <c r="K43" s="48" t="s">
        <v>65</v>
      </c>
      <c r="L43" s="82">
        <f>COVAR(J20:J41,L20:L41)</f>
        <v>1.0710990467808075E-2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2.111160292142152E-3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5.0735088698261981</v>
      </c>
    </row>
  </sheetData>
  <mergeCells count="1">
    <mergeCell ref="B4:D4"/>
  </mergeCells>
  <conditionalFormatting sqref="S10">
    <cfRule type="expression" dxfId="322" priority="19">
      <formula>IF($Q$10&gt;$Q$11,1,0)</formula>
    </cfRule>
  </conditionalFormatting>
  <conditionalFormatting sqref="Q10">
    <cfRule type="expression" dxfId="321" priority="10">
      <formula>IF($Q$10&lt;$Q$11,1,0)</formula>
    </cfRule>
    <cfRule type="expression" dxfId="320" priority="18">
      <formula>IF($Q$10&gt;$Q$11,1,0)</formula>
    </cfRule>
  </conditionalFormatting>
  <conditionalFormatting sqref="Q12">
    <cfRule type="expression" dxfId="319" priority="9">
      <formula>IF($Q$12&gt;$Q$13,1,0)</formula>
    </cfRule>
    <cfRule type="expression" dxfId="318" priority="17">
      <formula>IF($Q$12&lt;$Q$13,1,0)</formula>
    </cfRule>
  </conditionalFormatting>
  <conditionalFormatting sqref="Q14">
    <cfRule type="expression" dxfId="317" priority="16">
      <formula>IF($Q$15="Sell",1,0)</formula>
    </cfRule>
  </conditionalFormatting>
  <conditionalFormatting sqref="Q14:Q15">
    <cfRule type="expression" dxfId="316" priority="15">
      <formula>IF($Q$15="Buy",1,0)</formula>
    </cfRule>
  </conditionalFormatting>
  <conditionalFormatting sqref="Q16">
    <cfRule type="expression" dxfId="315" priority="13">
      <formula>IF($Q$16&lt;$Q$17,1,0)</formula>
    </cfRule>
    <cfRule type="expression" dxfId="314" priority="14">
      <formula>IF($Q$16&gt;$Q$17,1,0)</formula>
    </cfRule>
  </conditionalFormatting>
  <conditionalFormatting sqref="Q18">
    <cfRule type="expression" dxfId="313" priority="11">
      <formula>IF($Q$18&lt;$Q$19,1,0)</formula>
    </cfRule>
    <cfRule type="expression" dxfId="312" priority="12">
      <formula>IF($Q$18&gt;$Q$19,1,0)</formula>
    </cfRule>
  </conditionalFormatting>
  <conditionalFormatting sqref="Q23">
    <cfRule type="expression" dxfId="311" priority="7">
      <formula>IF($Q$23&lt;1.1,1,0)</formula>
    </cfRule>
    <cfRule type="expression" dxfId="310" priority="8">
      <formula>IF($Q$23&gt;1.1,1,0)</formula>
    </cfRule>
  </conditionalFormatting>
  <conditionalFormatting sqref="Q26">
    <cfRule type="expression" dxfId="309" priority="5">
      <formula>IF($Q$26&lt;$Q$19,1,0)</formula>
    </cfRule>
    <cfRule type="expression" dxfId="308" priority="6">
      <formula>IF($Q$26&gt;$Q$19,1,0)</formula>
    </cfRule>
  </conditionalFormatting>
  <conditionalFormatting sqref="Q30">
    <cfRule type="expression" dxfId="307" priority="3">
      <formula>IF($Q$28&lt;$Q$29,1,0)</formula>
    </cfRule>
    <cfRule type="expression" dxfId="306" priority="4">
      <formula>IF($Q$28&gt;$Q$29,1,0)</formula>
    </cfRule>
  </conditionalFormatting>
  <conditionalFormatting sqref="R31">
    <cfRule type="expression" dxfId="305" priority="1">
      <formula>IF($R$31&lt;0.485,1,0)</formula>
    </cfRule>
    <cfRule type="expression" dxfId="304" priority="2">
      <formula>IF($R$31&gt;0.49,1,0)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572A4-D698-4D48-8BC2-10F8BCA2F015}">
  <sheetPr codeName="Sheet25"/>
  <dimension ref="B2:R45"/>
  <sheetViews>
    <sheetView zoomScale="85" zoomScaleNormal="85" workbookViewId="0">
      <selection activeCell="C7" sqref="C7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191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190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QUBT</v>
      </c>
      <c r="R5" s="8"/>
    </row>
    <row r="6" spans="2:18" x14ac:dyDescent="0.2">
      <c r="B6" s="1" t="s">
        <v>4</v>
      </c>
      <c r="C6" s="1" t="s">
        <v>62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NASDAQ</v>
      </c>
      <c r="R6" s="8"/>
    </row>
    <row r="7" spans="2:18" x14ac:dyDescent="0.2">
      <c r="B7" s="1" t="s">
        <v>7</v>
      </c>
      <c r="C7" s="13">
        <v>45822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16.68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-30.46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-0.53</v>
      </c>
      <c r="R11" s="31">
        <f>IF(Q10&gt;Q11,0,1)</f>
        <v>1</v>
      </c>
    </row>
    <row r="12" spans="2:18" x14ac:dyDescent="0.2">
      <c r="B12" s="1" t="s">
        <v>26</v>
      </c>
      <c r="C12" s="32">
        <f>Q23</f>
        <v>3.85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0.11</v>
      </c>
      <c r="R12" s="25"/>
    </row>
    <row r="13" spans="2:18" x14ac:dyDescent="0.2">
      <c r="B13" s="1" t="s">
        <v>30</v>
      </c>
      <c r="C13" s="26">
        <f>G43</f>
        <v>0.33974519395337099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-0.05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1.3487189967204782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0.33600000000000002</v>
      </c>
      <c r="R14" s="31"/>
    </row>
    <row r="15" spans="2:18" ht="19" x14ac:dyDescent="0.25">
      <c r="B15" s="1" t="s">
        <v>36</v>
      </c>
      <c r="C15" s="39">
        <f>C10*(1+C14)</f>
        <v>39.176632865297577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f>IF(Q15="Sell",0,1)</f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-141.47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35.9</v>
      </c>
      <c r="R17" s="42">
        <f>IF(Q16&lt;Q17,0,1)</f>
        <v>0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Quantum Computing Inc</v>
      </c>
      <c r="J18" s="34" t="s">
        <v>45</v>
      </c>
      <c r="K18" s="34" t="str">
        <f>_xlfn.CONCAT("Precio ",C6)</f>
        <v>Precio NASDAQ</v>
      </c>
      <c r="L18" s="34" t="s">
        <v>46</v>
      </c>
      <c r="M18" s="1"/>
      <c r="N18" s="21"/>
      <c r="O18" s="22"/>
      <c r="P18" s="23" t="s">
        <v>47</v>
      </c>
      <c r="Q18" s="137">
        <f>C14</f>
        <v>1.3487189967204782</v>
      </c>
      <c r="R18" s="25"/>
    </row>
    <row r="19" spans="2:18" x14ac:dyDescent="0.2">
      <c r="B19" s="46">
        <v>45108</v>
      </c>
      <c r="C19">
        <v>1.18</v>
      </c>
      <c r="D19" s="47">
        <v>5.2699999999999997E-2</v>
      </c>
      <c r="E19" s="1"/>
      <c r="F19" s="1"/>
      <c r="G19" s="1"/>
      <c r="H19" s="1"/>
      <c r="I19" s="8">
        <f>C19</f>
        <v>1.18</v>
      </c>
      <c r="J19" s="8"/>
      <c r="K19" s="48">
        <v>15501.07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1.08</v>
      </c>
      <c r="D20" s="47">
        <v>5.28E-2</v>
      </c>
      <c r="E20" s="52">
        <f>C20/C19-1</f>
        <v>-8.4745762711864292E-2</v>
      </c>
      <c r="F20" s="53">
        <f>D20/365*28</f>
        <v>4.0504109589041097E-3</v>
      </c>
      <c r="G20" s="51">
        <f>E20-F20</f>
        <v>-8.8796173670768405E-2</v>
      </c>
      <c r="H20" s="1"/>
      <c r="I20" s="8">
        <f t="shared" ref="I20:I41" si="0">C20</f>
        <v>1.08</v>
      </c>
      <c r="J20" s="52">
        <f>I20/I19-1</f>
        <v>-8.4745762711864292E-2</v>
      </c>
      <c r="K20" s="48">
        <v>14715.24</v>
      </c>
      <c r="L20" s="52">
        <f>K20/K19-1</f>
        <v>-5.0695210072595032E-2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0.73</v>
      </c>
      <c r="D21" s="47">
        <v>5.2900000000000003E-2</v>
      </c>
      <c r="E21" s="52">
        <f t="shared" ref="E21:E41" si="1">C21/C20-1</f>
        <v>-0.32407407407407418</v>
      </c>
      <c r="F21" s="53">
        <f t="shared" ref="F21:F41" si="2">D21/365*28</f>
        <v>4.0580821917808214E-3</v>
      </c>
      <c r="G21" s="51">
        <f t="shared" ref="G21:G41" si="3">E21-F21</f>
        <v>-0.32813215626585501</v>
      </c>
      <c r="H21" s="1"/>
      <c r="I21" s="8">
        <f t="shared" si="0"/>
        <v>0.73</v>
      </c>
      <c r="J21" s="52">
        <f t="shared" ref="J21:J41" si="4">I21/I20-1</f>
        <v>-0.32407407407407418</v>
      </c>
      <c r="K21" s="48">
        <v>14409.78</v>
      </c>
      <c r="L21" s="52">
        <f t="shared" ref="L21:L41" si="5">K21/K20-1</f>
        <v>-2.0758071224118657E-2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0.89</v>
      </c>
      <c r="D22" s="47">
        <v>5.2900000000000003E-2</v>
      </c>
      <c r="E22" s="52">
        <f t="shared" si="1"/>
        <v>0.21917808219178081</v>
      </c>
      <c r="F22" s="53">
        <f t="shared" si="2"/>
        <v>4.0580821917808214E-3</v>
      </c>
      <c r="G22" s="51">
        <f t="shared" si="3"/>
        <v>0.21511999999999998</v>
      </c>
      <c r="H22" s="1"/>
      <c r="I22" s="8">
        <f t="shared" si="0"/>
        <v>0.89</v>
      </c>
      <c r="J22" s="52">
        <f t="shared" si="4"/>
        <v>0.21917808219178081</v>
      </c>
      <c r="K22" s="48">
        <v>15947.87</v>
      </c>
      <c r="L22" s="52">
        <f t="shared" si="5"/>
        <v>0.10673931177297646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C23">
        <v>0.91</v>
      </c>
      <c r="D23" s="47">
        <v>5.2900000000000003E-2</v>
      </c>
      <c r="E23" s="52">
        <f t="shared" si="1"/>
        <v>2.2471910112359605E-2</v>
      </c>
      <c r="F23" s="53">
        <f t="shared" si="2"/>
        <v>4.0580821917808214E-3</v>
      </c>
      <c r="G23" s="51">
        <f t="shared" si="3"/>
        <v>1.8413827920578784E-2</v>
      </c>
      <c r="H23" s="1"/>
      <c r="I23" s="8">
        <f t="shared" si="0"/>
        <v>0.91</v>
      </c>
      <c r="J23" s="52">
        <f t="shared" si="4"/>
        <v>2.2471910112359605E-2</v>
      </c>
      <c r="K23" s="48">
        <v>16825.93</v>
      </c>
      <c r="L23" s="52">
        <f t="shared" si="5"/>
        <v>5.5058136290300874E-2</v>
      </c>
      <c r="M23" s="1"/>
      <c r="N23" s="57" t="s">
        <v>51</v>
      </c>
      <c r="O23" s="58" t="s">
        <v>52</v>
      </c>
      <c r="P23" s="59" t="s">
        <v>44</v>
      </c>
      <c r="Q23" s="162">
        <v>3.85</v>
      </c>
      <c r="R23" s="61">
        <f>IF(Q23&gt;1.1,0,1)</f>
        <v>0</v>
      </c>
    </row>
    <row r="24" spans="2:18" x14ac:dyDescent="0.2">
      <c r="B24" s="46">
        <v>45261</v>
      </c>
      <c r="C24">
        <v>0.81110000000000004</v>
      </c>
      <c r="D24" s="47">
        <v>5.33E-2</v>
      </c>
      <c r="E24" s="52">
        <f t="shared" si="1"/>
        <v>-0.10868131868131869</v>
      </c>
      <c r="F24" s="53">
        <f t="shared" si="2"/>
        <v>4.0887671232876718E-3</v>
      </c>
      <c r="G24" s="51">
        <f t="shared" si="3"/>
        <v>-0.11277008580460637</v>
      </c>
      <c r="H24" s="1"/>
      <c r="I24" s="8">
        <f t="shared" si="0"/>
        <v>0.81110000000000004</v>
      </c>
      <c r="J24" s="52">
        <f t="shared" si="4"/>
        <v>-0.10868131868131869</v>
      </c>
      <c r="K24" s="48">
        <v>17137.240000000002</v>
      </c>
      <c r="L24" s="52">
        <f t="shared" si="5"/>
        <v>1.8501800494831633E-2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0.83050000000000002</v>
      </c>
      <c r="D25" s="47">
        <v>5.2699999999999997E-2</v>
      </c>
      <c r="E25" s="52">
        <f t="shared" si="1"/>
        <v>2.391813586487479E-2</v>
      </c>
      <c r="F25" s="53">
        <f t="shared" si="2"/>
        <v>4.0427397260273962E-3</v>
      </c>
      <c r="G25" s="51">
        <f t="shared" si="3"/>
        <v>1.9875396138847395E-2</v>
      </c>
      <c r="H25" s="1"/>
      <c r="I25" s="8">
        <f t="shared" si="0"/>
        <v>0.83050000000000002</v>
      </c>
      <c r="J25" s="52">
        <f t="shared" si="4"/>
        <v>2.391813586487479E-2</v>
      </c>
      <c r="K25" s="48">
        <v>18043.849999999999</v>
      </c>
      <c r="L25" s="52">
        <f t="shared" si="5"/>
        <v>5.2902917856084031E-2</v>
      </c>
      <c r="M25" s="1"/>
      <c r="N25" s="30"/>
      <c r="O25" s="64"/>
      <c r="P25" s="30" t="s">
        <v>23</v>
      </c>
      <c r="Q25" s="84">
        <f>Q10</f>
        <v>-30.46</v>
      </c>
      <c r="R25" s="31"/>
    </row>
    <row r="26" spans="2:18" x14ac:dyDescent="0.2">
      <c r="B26" s="46">
        <v>45323</v>
      </c>
      <c r="C26">
        <v>0.99009999999999998</v>
      </c>
      <c r="D26" s="47">
        <v>5.2999999999999999E-2</v>
      </c>
      <c r="E26" s="52">
        <f t="shared" si="1"/>
        <v>0.1921733895243829</v>
      </c>
      <c r="F26" s="53">
        <f t="shared" si="2"/>
        <v>4.0657534246575349E-3</v>
      </c>
      <c r="G26" s="51">
        <f t="shared" si="3"/>
        <v>0.18810763609972536</v>
      </c>
      <c r="H26" s="1"/>
      <c r="I26" s="8">
        <f t="shared" si="0"/>
        <v>0.99009999999999998</v>
      </c>
      <c r="J26" s="52">
        <f t="shared" si="4"/>
        <v>0.1921733895243829</v>
      </c>
      <c r="K26" s="48">
        <v>18254.689999999999</v>
      </c>
      <c r="L26" s="52">
        <f t="shared" si="5"/>
        <v>1.1684867697304036E-2</v>
      </c>
      <c r="M26" s="1"/>
      <c r="N26" s="49" t="s">
        <v>54</v>
      </c>
      <c r="O26" s="64"/>
      <c r="P26" s="30" t="s">
        <v>55</v>
      </c>
      <c r="Q26" s="132">
        <f>1/Q25</f>
        <v>-3.2829940906106365E-2</v>
      </c>
      <c r="R26" s="31">
        <f>IF(Q26&lt;Q19,0,1)</f>
        <v>0</v>
      </c>
    </row>
    <row r="27" spans="2:18" x14ac:dyDescent="0.2">
      <c r="B27" s="46">
        <v>45352</v>
      </c>
      <c r="C27">
        <v>0.76749999999999996</v>
      </c>
      <c r="D27" s="47">
        <v>5.2900000000000003E-2</v>
      </c>
      <c r="E27" s="52">
        <f t="shared" si="1"/>
        <v>-0.22482577517422486</v>
      </c>
      <c r="F27" s="53">
        <f t="shared" si="2"/>
        <v>4.0580821917808214E-3</v>
      </c>
      <c r="G27" s="51">
        <f t="shared" si="3"/>
        <v>-0.22888385736600569</v>
      </c>
      <c r="H27" s="1"/>
      <c r="I27" s="8">
        <f t="shared" si="0"/>
        <v>0.76749999999999996</v>
      </c>
      <c r="J27" s="52">
        <f t="shared" si="4"/>
        <v>-0.22482577517422486</v>
      </c>
      <c r="K27" s="48">
        <v>17440.689999999999</v>
      </c>
      <c r="L27" s="52">
        <f t="shared" si="5"/>
        <v>-4.4591280377809794E-2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0.72360000000000002</v>
      </c>
      <c r="D28" s="47">
        <v>5.28E-2</v>
      </c>
      <c r="E28" s="52">
        <f t="shared" si="1"/>
        <v>-5.7198697068403859E-2</v>
      </c>
      <c r="F28" s="53">
        <f t="shared" si="2"/>
        <v>4.0504109589041097E-3</v>
      </c>
      <c r="G28" s="51">
        <f t="shared" si="3"/>
        <v>-6.1249108027307972E-2</v>
      </c>
      <c r="H28" s="1"/>
      <c r="I28" s="8">
        <f t="shared" si="0"/>
        <v>0.72360000000000002</v>
      </c>
      <c r="J28" s="52">
        <f t="shared" si="4"/>
        <v>-5.7198697068403859E-2</v>
      </c>
      <c r="K28" s="48">
        <v>18536.650000000001</v>
      </c>
      <c r="L28" s="52">
        <f t="shared" si="5"/>
        <v>6.2839256933068688E-2</v>
      </c>
      <c r="M28" s="1"/>
      <c r="N28" s="30"/>
      <c r="O28" s="1"/>
      <c r="P28" s="30" t="s">
        <v>57</v>
      </c>
      <c r="Q28" s="51">
        <f>Q18</f>
        <v>1.3487189967204782</v>
      </c>
      <c r="R28" s="31"/>
    </row>
    <row r="29" spans="2:18" x14ac:dyDescent="0.2">
      <c r="B29" s="46">
        <v>45413</v>
      </c>
      <c r="C29">
        <v>0.50239999999999996</v>
      </c>
      <c r="D29" s="47">
        <v>5.2699999999999997E-2</v>
      </c>
      <c r="E29" s="52">
        <f t="shared" si="1"/>
        <v>-0.30569375345494754</v>
      </c>
      <c r="F29" s="53">
        <f t="shared" si="2"/>
        <v>4.0427397260273962E-3</v>
      </c>
      <c r="G29" s="51">
        <f t="shared" si="3"/>
        <v>-0.30973649318097496</v>
      </c>
      <c r="H29" s="1"/>
      <c r="I29" s="8">
        <f t="shared" si="0"/>
        <v>0.50239999999999996</v>
      </c>
      <c r="J29" s="52">
        <f t="shared" si="4"/>
        <v>-0.30569375345494754</v>
      </c>
      <c r="K29" s="48">
        <v>19682.87</v>
      </c>
      <c r="L29" s="52">
        <f t="shared" si="5"/>
        <v>6.1835337021522108E-2</v>
      </c>
      <c r="M29" s="1"/>
      <c r="N29" s="49" t="s">
        <v>117</v>
      </c>
      <c r="O29" s="1"/>
      <c r="P29" s="30" t="s">
        <v>58</v>
      </c>
      <c r="Q29" s="67">
        <v>0.89761100000000005</v>
      </c>
      <c r="R29" s="31"/>
    </row>
    <row r="30" spans="2:18" ht="17" thickBot="1" x14ac:dyDescent="0.25">
      <c r="B30" s="46">
        <v>45444</v>
      </c>
      <c r="C30">
        <v>0.68200000000000005</v>
      </c>
      <c r="D30" s="47">
        <v>5.2699999999999997E-2</v>
      </c>
      <c r="E30" s="52">
        <f t="shared" si="1"/>
        <v>0.3574840764331213</v>
      </c>
      <c r="F30" s="53">
        <f t="shared" si="2"/>
        <v>4.0427397260273962E-3</v>
      </c>
      <c r="G30" s="51">
        <f t="shared" si="3"/>
        <v>0.35344133670709388</v>
      </c>
      <c r="I30" s="8">
        <f t="shared" si="0"/>
        <v>0.68200000000000005</v>
      </c>
      <c r="J30" s="52">
        <f t="shared" si="4"/>
        <v>0.3574840764331213</v>
      </c>
      <c r="K30" s="48">
        <v>19362.43</v>
      </c>
      <c r="L30" s="52">
        <f t="shared" si="5"/>
        <v>-1.6280146137224838E-2</v>
      </c>
      <c r="M30" s="1"/>
      <c r="N30" s="1"/>
      <c r="O30" s="1"/>
      <c r="P30" s="33"/>
      <c r="Q30" s="68">
        <f>Q28-Q29</f>
        <v>0.45110799672047819</v>
      </c>
      <c r="R30" s="31">
        <f>IF(Q28&lt;Q29,0,1)</f>
        <v>1</v>
      </c>
    </row>
    <row r="31" spans="2:18" ht="17" thickBot="1" x14ac:dyDescent="0.25">
      <c r="B31" s="46">
        <v>45474</v>
      </c>
      <c r="C31">
        <v>0.64670000000000005</v>
      </c>
      <c r="D31" s="47">
        <v>5.28E-2</v>
      </c>
      <c r="E31" s="52">
        <f t="shared" si="1"/>
        <v>-5.1759530791788855E-2</v>
      </c>
      <c r="F31" s="53">
        <f t="shared" si="2"/>
        <v>4.0504109589041097E-3</v>
      </c>
      <c r="G31" s="51">
        <f t="shared" si="3"/>
        <v>-5.5809941750692968E-2</v>
      </c>
      <c r="H31" s="1"/>
      <c r="I31" s="8">
        <f t="shared" si="0"/>
        <v>0.64670000000000005</v>
      </c>
      <c r="J31" s="52">
        <f t="shared" si="4"/>
        <v>-5.1759530791788855E-2</v>
      </c>
      <c r="K31" s="48">
        <v>19574.64</v>
      </c>
      <c r="L31" s="52">
        <f t="shared" si="5"/>
        <v>1.0959884683895416E-2</v>
      </c>
      <c r="M31" s="1"/>
      <c r="N31" s="1"/>
      <c r="O31" s="1"/>
      <c r="P31" s="30"/>
      <c r="Q31" s="69"/>
      <c r="R31" s="133">
        <f>SUM(R10:R30)/8</f>
        <v>0.5</v>
      </c>
    </row>
    <row r="32" spans="2:18" x14ac:dyDescent="0.2">
      <c r="B32" s="46">
        <v>45505</v>
      </c>
      <c r="C32">
        <v>0.65290000000000004</v>
      </c>
      <c r="D32" s="47">
        <v>5.1799999999999999E-2</v>
      </c>
      <c r="E32" s="52">
        <f t="shared" si="1"/>
        <v>9.5871346837792526E-3</v>
      </c>
      <c r="F32" s="53">
        <f t="shared" si="2"/>
        <v>3.9736986301369863E-3</v>
      </c>
      <c r="G32" s="51">
        <f t="shared" si="3"/>
        <v>5.6134360536422663E-3</v>
      </c>
      <c r="H32" s="1"/>
      <c r="I32" s="8">
        <f t="shared" si="0"/>
        <v>0.65290000000000004</v>
      </c>
      <c r="J32" s="52">
        <f t="shared" si="4"/>
        <v>9.5871346837792526E-3</v>
      </c>
      <c r="K32" s="48">
        <v>20060.689999999999</v>
      </c>
      <c r="L32" s="52">
        <f t="shared" si="5"/>
        <v>2.4830597139972932E-2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1.1200000000000001</v>
      </c>
      <c r="D33" s="47">
        <v>4.7399999999999998E-2</v>
      </c>
      <c r="E33" s="52">
        <f t="shared" si="1"/>
        <v>0.71542349517537152</v>
      </c>
      <c r="F33" s="53">
        <f t="shared" si="2"/>
        <v>3.6361643835616433E-3</v>
      </c>
      <c r="G33" s="51">
        <f t="shared" si="3"/>
        <v>0.71178733079180989</v>
      </c>
      <c r="H33" s="1"/>
      <c r="I33" s="8">
        <f t="shared" si="0"/>
        <v>1.1200000000000001</v>
      </c>
      <c r="J33" s="52">
        <f t="shared" si="4"/>
        <v>0.71542349517537152</v>
      </c>
      <c r="K33" s="48">
        <v>19890.41</v>
      </c>
      <c r="L33" s="52">
        <f t="shared" si="5"/>
        <v>-8.4882424283511115E-3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7.06</v>
      </c>
      <c r="D34" s="47">
        <v>4.58E-2</v>
      </c>
      <c r="E34" s="52">
        <f t="shared" si="1"/>
        <v>5.3035714285714279</v>
      </c>
      <c r="F34" s="53">
        <f t="shared" si="2"/>
        <v>3.5134246575342465E-3</v>
      </c>
      <c r="G34" s="51">
        <f t="shared" si="3"/>
        <v>5.300058003913894</v>
      </c>
      <c r="H34" s="1"/>
      <c r="I34" s="8">
        <f t="shared" si="0"/>
        <v>7.06</v>
      </c>
      <c r="J34" s="52">
        <f t="shared" si="4"/>
        <v>5.3035714285714279</v>
      </c>
      <c r="K34" s="48">
        <v>20930.37</v>
      </c>
      <c r="L34" s="52">
        <f t="shared" si="5"/>
        <v>5.2284492878728939E-2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16.55</v>
      </c>
      <c r="D35" s="47">
        <v>4.5499999999999999E-2</v>
      </c>
      <c r="E35" s="52">
        <f t="shared" si="1"/>
        <v>1.3441926345609065</v>
      </c>
      <c r="F35" s="53">
        <f t="shared" si="2"/>
        <v>3.4904109589041091E-3</v>
      </c>
      <c r="G35" s="51">
        <f t="shared" si="3"/>
        <v>1.3407022236020025</v>
      </c>
      <c r="H35" s="1"/>
      <c r="I35" s="8">
        <f t="shared" si="0"/>
        <v>16.55</v>
      </c>
      <c r="J35" s="52">
        <f t="shared" si="4"/>
        <v>1.3441926345609065</v>
      </c>
      <c r="K35" s="48">
        <v>21012.17</v>
      </c>
      <c r="L35" s="52">
        <f t="shared" si="5"/>
        <v>3.9081965583980249E-3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10.38</v>
      </c>
      <c r="D36" s="47">
        <v>4.2200000000000001E-2</v>
      </c>
      <c r="E36" s="52">
        <f t="shared" si="1"/>
        <v>-0.37280966767371604</v>
      </c>
      <c r="F36" s="53">
        <f t="shared" si="2"/>
        <v>3.2372602739726029E-3</v>
      </c>
      <c r="G36" s="51">
        <f t="shared" si="3"/>
        <v>-0.37604692794768863</v>
      </c>
      <c r="H36" s="1"/>
      <c r="I36" s="8">
        <f t="shared" si="0"/>
        <v>10.38</v>
      </c>
      <c r="J36" s="52">
        <f t="shared" si="4"/>
        <v>-0.37280966767371604</v>
      </c>
      <c r="K36" s="48">
        <v>21478.05</v>
      </c>
      <c r="L36" s="52">
        <f t="shared" si="5"/>
        <v>2.2171912753418566E-2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6.0650000000000004</v>
      </c>
      <c r="D37" s="47">
        <v>4.2599999999999999E-2</v>
      </c>
      <c r="E37" s="52">
        <f t="shared" si="1"/>
        <v>-0.41570327552986508</v>
      </c>
      <c r="F37" s="53">
        <f t="shared" si="2"/>
        <v>3.267945205479452E-3</v>
      </c>
      <c r="G37" s="51">
        <f t="shared" si="3"/>
        <v>-0.41897122073534454</v>
      </c>
      <c r="H37" s="1"/>
      <c r="I37" s="8">
        <f t="shared" si="0"/>
        <v>6.0650000000000004</v>
      </c>
      <c r="J37" s="52">
        <f t="shared" si="4"/>
        <v>-0.41570327552986508</v>
      </c>
      <c r="K37" s="48">
        <v>20884.41</v>
      </c>
      <c r="L37" s="52">
        <f t="shared" si="5"/>
        <v>-2.7639380670032909E-2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8</v>
      </c>
      <c r="D38" s="47">
        <v>4.24E-2</v>
      </c>
      <c r="E38" s="52">
        <f t="shared" si="1"/>
        <v>0.31904369332234128</v>
      </c>
      <c r="F38" s="53">
        <f t="shared" si="2"/>
        <v>3.2526027397260277E-3</v>
      </c>
      <c r="G38" s="51">
        <f t="shared" si="3"/>
        <v>0.31579109058261523</v>
      </c>
      <c r="H38" s="1"/>
      <c r="I38" s="8">
        <f t="shared" si="0"/>
        <v>8</v>
      </c>
      <c r="J38" s="52">
        <f t="shared" si="4"/>
        <v>0.31904369332234128</v>
      </c>
      <c r="K38" s="48">
        <v>19278.45</v>
      </c>
      <c r="L38" s="52">
        <f t="shared" si="5"/>
        <v>-7.6897551810177989E-2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6.74</v>
      </c>
      <c r="D39" s="47">
        <v>4.24E-2</v>
      </c>
      <c r="E39" s="52">
        <f t="shared" si="1"/>
        <v>-0.15749999999999997</v>
      </c>
      <c r="F39" s="53">
        <f t="shared" si="2"/>
        <v>3.2526027397260277E-3</v>
      </c>
      <c r="G39" s="51">
        <f t="shared" si="3"/>
        <v>-0.160752602739726</v>
      </c>
      <c r="H39" s="1"/>
      <c r="I39" s="8">
        <f t="shared" si="0"/>
        <v>6.74</v>
      </c>
      <c r="J39" s="52">
        <f t="shared" si="4"/>
        <v>-0.15749999999999997</v>
      </c>
      <c r="K39" s="48">
        <v>19571.02</v>
      </c>
      <c r="L39" s="52">
        <f t="shared" si="5"/>
        <v>1.51760125943734E-2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11.324999999999999</v>
      </c>
      <c r="D40" s="47">
        <v>4.2299999999999997E-2</v>
      </c>
      <c r="E40" s="52">
        <f t="shared" si="1"/>
        <v>0.68026706231453993</v>
      </c>
      <c r="F40" s="53">
        <f t="shared" si="2"/>
        <v>3.2449315068493151E-3</v>
      </c>
      <c r="G40" s="51">
        <f t="shared" si="3"/>
        <v>0.67702213080769058</v>
      </c>
      <c r="H40" s="1"/>
      <c r="I40" s="8">
        <f t="shared" si="0"/>
        <v>11.324999999999999</v>
      </c>
      <c r="J40" s="52">
        <f t="shared" si="4"/>
        <v>0.68026706231453993</v>
      </c>
      <c r="K40" s="48">
        <v>21340.99</v>
      </c>
      <c r="L40" s="52">
        <f t="shared" si="5"/>
        <v>9.04383113399303E-2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16.68</v>
      </c>
      <c r="D41" s="47">
        <v>4.2200000000000001E-2</v>
      </c>
      <c r="E41" s="52">
        <f t="shared" si="1"/>
        <v>0.47284768211920536</v>
      </c>
      <c r="F41" s="53">
        <f t="shared" si="2"/>
        <v>3.2372602739726029E-3</v>
      </c>
      <c r="G41" s="51">
        <f t="shared" si="3"/>
        <v>0.46961042184523277</v>
      </c>
      <c r="H41" s="1"/>
      <c r="I41" s="8">
        <f t="shared" si="0"/>
        <v>16.68</v>
      </c>
      <c r="J41" s="52">
        <f t="shared" si="4"/>
        <v>0.47284768211920536</v>
      </c>
      <c r="K41" s="48">
        <v>21913.32</v>
      </c>
      <c r="L41" s="52">
        <f t="shared" si="5"/>
        <v>2.6818343478910656E-2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0.33974519395337099</v>
      </c>
      <c r="H43" s="1"/>
      <c r="I43" s="1"/>
      <c r="J43" s="1"/>
      <c r="K43" s="48" t="s">
        <v>65</v>
      </c>
      <c r="L43" s="82">
        <f>COVAR(J20:J41,L20:L41)</f>
        <v>9.915486566202043E-3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2.111160292142152E-3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4.6967000104672287</v>
      </c>
    </row>
  </sheetData>
  <mergeCells count="1">
    <mergeCell ref="B4:D4"/>
  </mergeCells>
  <conditionalFormatting sqref="S10">
    <cfRule type="expression" dxfId="303" priority="19">
      <formula>IF($Q$10&gt;$Q$11,1,0)</formula>
    </cfRule>
  </conditionalFormatting>
  <conditionalFormatting sqref="Q10">
    <cfRule type="expression" dxfId="302" priority="10">
      <formula>IF($Q$10&lt;$Q$11,1,0)</formula>
    </cfRule>
    <cfRule type="expression" dxfId="301" priority="18">
      <formula>IF($Q$10&gt;$Q$11,1,0)</formula>
    </cfRule>
  </conditionalFormatting>
  <conditionalFormatting sqref="Q12">
    <cfRule type="expression" dxfId="300" priority="9">
      <formula>IF($Q$12&gt;$Q$13,1,0)</formula>
    </cfRule>
    <cfRule type="expression" dxfId="299" priority="17">
      <formula>IF($Q$12&lt;$Q$13,1,0)</formula>
    </cfRule>
  </conditionalFormatting>
  <conditionalFormatting sqref="Q14">
    <cfRule type="expression" dxfId="298" priority="16">
      <formula>IF($Q$15="Sell",1,0)</formula>
    </cfRule>
  </conditionalFormatting>
  <conditionalFormatting sqref="Q14:Q15">
    <cfRule type="expression" dxfId="297" priority="15">
      <formula>IF($Q$15="Buy",1,0)</formula>
    </cfRule>
  </conditionalFormatting>
  <conditionalFormatting sqref="Q16">
    <cfRule type="expression" dxfId="296" priority="13">
      <formula>IF($Q$16&lt;$Q$17,1,0)</formula>
    </cfRule>
    <cfRule type="expression" dxfId="295" priority="14">
      <formula>IF($Q$16&gt;$Q$17,1,0)</formula>
    </cfRule>
  </conditionalFormatting>
  <conditionalFormatting sqref="Q18">
    <cfRule type="expression" dxfId="294" priority="11">
      <formula>IF($Q$18&lt;$Q$19,1,0)</formula>
    </cfRule>
    <cfRule type="expression" dxfId="293" priority="12">
      <formula>IF($Q$18&gt;$Q$19,1,0)</formula>
    </cfRule>
  </conditionalFormatting>
  <conditionalFormatting sqref="Q23">
    <cfRule type="expression" dxfId="292" priority="7">
      <formula>IF($Q$23&lt;1.1,1,0)</formula>
    </cfRule>
    <cfRule type="expression" dxfId="291" priority="8">
      <formula>IF($Q$23&gt;1.1,1,0)</formula>
    </cfRule>
  </conditionalFormatting>
  <conditionalFormatting sqref="Q26">
    <cfRule type="expression" dxfId="290" priority="5">
      <formula>IF($Q$26&lt;$Q$19,1,0)</formula>
    </cfRule>
    <cfRule type="expression" dxfId="289" priority="6">
      <formula>IF($Q$26&gt;$Q$19,1,0)</formula>
    </cfRule>
  </conditionalFormatting>
  <conditionalFormatting sqref="Q30">
    <cfRule type="expression" dxfId="288" priority="3">
      <formula>IF($Q$28&lt;$Q$29,1,0)</formula>
    </cfRule>
    <cfRule type="expression" dxfId="287" priority="4">
      <formula>IF($Q$28&gt;$Q$29,1,0)</formula>
    </cfRule>
  </conditionalFormatting>
  <conditionalFormatting sqref="R31">
    <cfRule type="expression" dxfId="286" priority="1">
      <formula>IF($R$31&lt;0.485,1,0)</formula>
    </cfRule>
    <cfRule type="expression" dxfId="285" priority="2">
      <formula>IF($R$31&gt;0.49,1,0)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82065-E4EE-4E93-95AA-2A3F36ACF462}">
  <sheetPr codeName="Sheet24"/>
  <dimension ref="B2:R47"/>
  <sheetViews>
    <sheetView zoomScale="85" zoomScaleNormal="85" workbookViewId="0">
      <selection activeCell="G44" sqref="G44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187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188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WMT</v>
      </c>
      <c r="R5" s="8"/>
    </row>
    <row r="6" spans="2:18" x14ac:dyDescent="0.2">
      <c r="B6" s="1" t="s">
        <v>4</v>
      </c>
      <c r="C6" s="1" t="s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NYSE</v>
      </c>
      <c r="R6" s="8"/>
    </row>
    <row r="7" spans="2:18" x14ac:dyDescent="0.2">
      <c r="B7" s="1" t="s">
        <v>7</v>
      </c>
      <c r="C7" s="13">
        <v>45822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94.44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40.380000000000003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33.49</v>
      </c>
      <c r="R11" s="31">
        <f>IF(Q10&gt;Q11,0,1)</f>
        <v>0</v>
      </c>
    </row>
    <row r="12" spans="2:18" x14ac:dyDescent="0.2">
      <c r="B12" s="1" t="s">
        <v>26</v>
      </c>
      <c r="C12" s="32">
        <f>Q23</f>
        <v>0.69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0.61</v>
      </c>
      <c r="R12" s="25"/>
    </row>
    <row r="13" spans="2:18" x14ac:dyDescent="0.2">
      <c r="B13" s="1" t="s">
        <v>30</v>
      </c>
      <c r="C13" s="26">
        <f>G43</f>
        <v>2.347358490491842E-2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0.57999999999999996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5.6896773584393712E-2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-0.6</v>
      </c>
      <c r="R14" s="31"/>
    </row>
    <row r="15" spans="2:18" ht="19" x14ac:dyDescent="0.25">
      <c r="B15" s="1" t="s">
        <v>36</v>
      </c>
      <c r="C15" s="39">
        <f>C10*(1+C14)</f>
        <v>99.813331297310143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f>IF(Q15="Sell",0,1)</f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78.03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37.770000000000003</v>
      </c>
      <c r="R17" s="42">
        <f>IF(Q16&lt;Q17,0,1)</f>
        <v>1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Walmart</v>
      </c>
      <c r="J18" s="34" t="s">
        <v>45</v>
      </c>
      <c r="K18" s="34" t="str">
        <f>_xlfn.CONCAT("Precio ",C6)</f>
        <v>Precio NYSE</v>
      </c>
      <c r="L18" s="34" t="s">
        <v>46</v>
      </c>
      <c r="M18" s="1"/>
      <c r="N18" s="21"/>
      <c r="O18" s="22"/>
      <c r="P18" s="23" t="s">
        <v>47</v>
      </c>
      <c r="Q18" s="137">
        <f>C14</f>
        <v>5.6896773584393712E-2</v>
      </c>
      <c r="R18" s="25"/>
    </row>
    <row r="19" spans="2:18" x14ac:dyDescent="0.2">
      <c r="B19" s="46">
        <v>45108</v>
      </c>
      <c r="C19">
        <v>54.2</v>
      </c>
      <c r="D19" s="47">
        <v>5.2699999999999997E-2</v>
      </c>
      <c r="E19" s="1"/>
      <c r="F19" s="1"/>
      <c r="G19" s="1"/>
      <c r="H19" s="1"/>
      <c r="I19" s="8">
        <f>C19</f>
        <v>54.2</v>
      </c>
      <c r="J19" s="8"/>
      <c r="K19" s="48">
        <v>16000.4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53.31</v>
      </c>
      <c r="D20" s="47">
        <v>5.28E-2</v>
      </c>
      <c r="E20" s="52">
        <f>C20/C19-1</f>
        <v>-1.6420664206642122E-2</v>
      </c>
      <c r="F20" s="53">
        <f>D20/365*28</f>
        <v>4.0504109589041097E-3</v>
      </c>
      <c r="G20" s="51">
        <f>E20-F20</f>
        <v>-2.0471075165546231E-2</v>
      </c>
      <c r="H20" s="1"/>
      <c r="I20" s="8">
        <f t="shared" ref="I20:I41" si="0">C20</f>
        <v>53.31</v>
      </c>
      <c r="J20" s="52">
        <f>I20/I19-1</f>
        <v>-1.6420664206642122E-2</v>
      </c>
      <c r="K20" s="48">
        <v>15398.2</v>
      </c>
      <c r="L20" s="52">
        <f>K20/K19-1</f>
        <v>-3.7636559086022814E-2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54.47</v>
      </c>
      <c r="D21" s="47">
        <v>5.2900000000000003E-2</v>
      </c>
      <c r="E21" s="52">
        <f t="shared" ref="E21:E41" si="1">C21/C20-1</f>
        <v>2.1759519789908088E-2</v>
      </c>
      <c r="F21" s="53">
        <f t="shared" ref="F21:F41" si="2">D21/365*28</f>
        <v>4.0580821917808214E-3</v>
      </c>
      <c r="G21" s="51">
        <f t="shared" ref="G21:G41" si="3">E21-F21</f>
        <v>1.7701437598127267E-2</v>
      </c>
      <c r="H21" s="1"/>
      <c r="I21" s="8">
        <f t="shared" si="0"/>
        <v>54.47</v>
      </c>
      <c r="J21" s="52">
        <f t="shared" ref="J21:J41" si="4">I21/I20-1</f>
        <v>2.1759519789908088E-2</v>
      </c>
      <c r="K21" s="48">
        <v>14919.2</v>
      </c>
      <c r="L21" s="52">
        <f t="shared" ref="L21:L41" si="5">K21/K20-1</f>
        <v>-3.1107532049200581E-2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51.9</v>
      </c>
      <c r="D22" s="47">
        <v>5.2900000000000003E-2</v>
      </c>
      <c r="E22" s="52">
        <f t="shared" si="1"/>
        <v>-4.7181935010097265E-2</v>
      </c>
      <c r="F22" s="53">
        <f t="shared" si="2"/>
        <v>4.0580821917808214E-3</v>
      </c>
      <c r="G22" s="51">
        <f t="shared" si="3"/>
        <v>-5.1240017201878083E-2</v>
      </c>
      <c r="H22" s="1"/>
      <c r="I22" s="8">
        <f t="shared" si="0"/>
        <v>51.9</v>
      </c>
      <c r="J22" s="52">
        <f t="shared" si="4"/>
        <v>-4.7181935010097265E-2</v>
      </c>
      <c r="K22" s="48">
        <v>16088.8</v>
      </c>
      <c r="L22" s="52">
        <f t="shared" si="5"/>
        <v>7.8395624430264155E-2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C23">
        <v>52.55</v>
      </c>
      <c r="D23" s="47">
        <v>5.2900000000000003E-2</v>
      </c>
      <c r="E23" s="52">
        <f t="shared" si="1"/>
        <v>1.2524084778420042E-2</v>
      </c>
      <c r="F23" s="53">
        <f t="shared" si="2"/>
        <v>4.0580821917808214E-3</v>
      </c>
      <c r="G23" s="51">
        <f t="shared" si="3"/>
        <v>8.4660025866392201E-3</v>
      </c>
      <c r="H23" s="1"/>
      <c r="I23" s="8">
        <f t="shared" si="0"/>
        <v>52.55</v>
      </c>
      <c r="J23" s="52">
        <f t="shared" si="4"/>
        <v>1.2524084778420042E-2</v>
      </c>
      <c r="K23" s="48">
        <v>16852.900000000001</v>
      </c>
      <c r="L23" s="52">
        <f t="shared" si="5"/>
        <v>4.7492665705335613E-2</v>
      </c>
      <c r="M23" s="1"/>
      <c r="N23" s="57" t="s">
        <v>51</v>
      </c>
      <c r="O23" s="58" t="s">
        <v>52</v>
      </c>
      <c r="P23" s="59" t="s">
        <v>44</v>
      </c>
      <c r="Q23" s="128">
        <v>0.69</v>
      </c>
      <c r="R23" s="61">
        <f>IF(Q23&gt;1.1,0,1)</f>
        <v>1</v>
      </c>
    </row>
    <row r="24" spans="2:18" x14ac:dyDescent="0.2">
      <c r="B24" s="46">
        <v>45261</v>
      </c>
      <c r="C24">
        <v>55.08</v>
      </c>
      <c r="D24" s="47">
        <v>5.33E-2</v>
      </c>
      <c r="E24" s="52">
        <f t="shared" si="1"/>
        <v>4.8144624167459682E-2</v>
      </c>
      <c r="F24" s="53">
        <f t="shared" si="2"/>
        <v>4.0887671232876718E-3</v>
      </c>
      <c r="G24" s="51">
        <f t="shared" si="3"/>
        <v>4.405585704417201E-2</v>
      </c>
      <c r="H24" s="1"/>
      <c r="I24" s="8">
        <f t="shared" si="0"/>
        <v>55.08</v>
      </c>
      <c r="J24" s="52">
        <f t="shared" si="4"/>
        <v>4.8144624167459682E-2</v>
      </c>
      <c r="K24" s="48">
        <v>16911.099999999999</v>
      </c>
      <c r="L24" s="52">
        <f t="shared" si="5"/>
        <v>3.4534115790159081E-3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58.61</v>
      </c>
      <c r="D25" s="47">
        <v>5.2699999999999997E-2</v>
      </c>
      <c r="E25" s="52">
        <f t="shared" si="1"/>
        <v>6.4088598402323838E-2</v>
      </c>
      <c r="F25" s="53">
        <f t="shared" si="2"/>
        <v>4.0427397260273962E-3</v>
      </c>
      <c r="G25" s="51">
        <f t="shared" si="3"/>
        <v>6.0045858676296443E-2</v>
      </c>
      <c r="H25" s="1"/>
      <c r="I25" s="8">
        <f t="shared" si="0"/>
        <v>58.61</v>
      </c>
      <c r="J25" s="52">
        <f t="shared" si="4"/>
        <v>6.4088598402323838E-2</v>
      </c>
      <c r="K25" s="48">
        <v>17607.400000000001</v>
      </c>
      <c r="L25" s="52">
        <f t="shared" si="5"/>
        <v>4.1174140061853048E-2</v>
      </c>
      <c r="M25" s="1"/>
      <c r="N25" s="30"/>
      <c r="O25" s="64"/>
      <c r="P25" s="30" t="s">
        <v>23</v>
      </c>
      <c r="Q25" s="84">
        <f>Q10</f>
        <v>40.380000000000003</v>
      </c>
      <c r="R25" s="31"/>
    </row>
    <row r="26" spans="2:18" x14ac:dyDescent="0.2">
      <c r="B26" s="46">
        <v>45323</v>
      </c>
      <c r="C26">
        <v>60.17</v>
      </c>
      <c r="D26" s="47">
        <v>5.2999999999999999E-2</v>
      </c>
      <c r="E26" s="52">
        <f t="shared" si="1"/>
        <v>2.6616618324518004E-2</v>
      </c>
      <c r="F26" s="53">
        <f t="shared" si="2"/>
        <v>4.0657534246575349E-3</v>
      </c>
      <c r="G26" s="51">
        <f t="shared" si="3"/>
        <v>2.2550864899860468E-2</v>
      </c>
      <c r="H26" s="1"/>
      <c r="I26" s="8">
        <f t="shared" si="0"/>
        <v>60.17</v>
      </c>
      <c r="J26" s="52">
        <f t="shared" si="4"/>
        <v>2.6616618324518004E-2</v>
      </c>
      <c r="K26" s="48">
        <v>18312.7</v>
      </c>
      <c r="L26" s="52">
        <f t="shared" si="5"/>
        <v>4.0057021479605215E-2</v>
      </c>
      <c r="M26" s="1"/>
      <c r="N26" s="49" t="s">
        <v>54</v>
      </c>
      <c r="O26" s="64"/>
      <c r="P26" s="30" t="s">
        <v>55</v>
      </c>
      <c r="Q26" s="132">
        <f>1/Q25</f>
        <v>2.4764735017335313E-2</v>
      </c>
      <c r="R26" s="31">
        <f>IF(Q26&lt;Q19,0,1)</f>
        <v>0</v>
      </c>
    </row>
    <row r="27" spans="2:18" x14ac:dyDescent="0.2">
      <c r="B27" s="46">
        <v>45352</v>
      </c>
      <c r="C27">
        <v>59.35</v>
      </c>
      <c r="D27" s="47">
        <v>5.2900000000000003E-2</v>
      </c>
      <c r="E27" s="52">
        <f t="shared" si="1"/>
        <v>-1.3628053847432264E-2</v>
      </c>
      <c r="F27" s="53">
        <f t="shared" si="2"/>
        <v>4.0580821917808214E-3</v>
      </c>
      <c r="G27" s="51">
        <f t="shared" si="3"/>
        <v>-1.7686136039213086E-2</v>
      </c>
      <c r="H27" s="1"/>
      <c r="I27" s="8">
        <f t="shared" si="0"/>
        <v>59.35</v>
      </c>
      <c r="J27" s="52">
        <f t="shared" si="4"/>
        <v>-1.3628053847432264E-2</v>
      </c>
      <c r="K27" s="48">
        <v>17603.3</v>
      </c>
      <c r="L27" s="52">
        <f t="shared" si="5"/>
        <v>-3.8738143474201014E-2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65.760000000000005</v>
      </c>
      <c r="D28" s="47">
        <v>5.28E-2</v>
      </c>
      <c r="E28" s="52">
        <f t="shared" si="1"/>
        <v>0.10800336983993275</v>
      </c>
      <c r="F28" s="53">
        <f t="shared" si="2"/>
        <v>4.0504109589041097E-3</v>
      </c>
      <c r="G28" s="51">
        <f t="shared" si="3"/>
        <v>0.10395295888102864</v>
      </c>
      <c r="H28" s="1"/>
      <c r="I28" s="8">
        <f t="shared" si="0"/>
        <v>65.760000000000005</v>
      </c>
      <c r="J28" s="52">
        <f t="shared" si="4"/>
        <v>0.10800336983993275</v>
      </c>
      <c r="K28" s="48">
        <v>18083.7</v>
      </c>
      <c r="L28" s="52">
        <f t="shared" si="5"/>
        <v>2.7290337607153381E-2</v>
      </c>
      <c r="M28" s="1"/>
      <c r="N28" s="30"/>
      <c r="O28" s="1"/>
      <c r="P28" s="30" t="s">
        <v>57</v>
      </c>
      <c r="Q28" s="51">
        <f>Q18</f>
        <v>5.6896773584393712E-2</v>
      </c>
      <c r="R28" s="31"/>
    </row>
    <row r="29" spans="2:18" x14ac:dyDescent="0.2">
      <c r="B29" s="46">
        <v>45413</v>
      </c>
      <c r="C29">
        <v>67.709999999999994</v>
      </c>
      <c r="D29" s="47">
        <v>5.2699999999999997E-2</v>
      </c>
      <c r="E29" s="52">
        <f t="shared" si="1"/>
        <v>2.965328467153272E-2</v>
      </c>
      <c r="F29" s="53">
        <f t="shared" si="2"/>
        <v>4.0427397260273962E-3</v>
      </c>
      <c r="G29" s="51">
        <f t="shared" si="3"/>
        <v>2.5610544945505326E-2</v>
      </c>
      <c r="H29" s="1"/>
      <c r="I29" s="8">
        <f t="shared" si="0"/>
        <v>67.709999999999994</v>
      </c>
      <c r="J29" s="52">
        <f t="shared" si="4"/>
        <v>2.965328467153272E-2</v>
      </c>
      <c r="K29" s="48">
        <v>18026.5</v>
      </c>
      <c r="L29" s="52">
        <f t="shared" si="5"/>
        <v>-3.1630695045815616E-3</v>
      </c>
      <c r="M29" s="1"/>
      <c r="N29" s="49" t="s">
        <v>117</v>
      </c>
      <c r="O29" s="1"/>
      <c r="P29" s="30" t="s">
        <v>58</v>
      </c>
      <c r="Q29" s="67">
        <v>-1.4999999999999999E-2</v>
      </c>
      <c r="R29" s="31"/>
    </row>
    <row r="30" spans="2:18" ht="17" thickBot="1" x14ac:dyDescent="0.25">
      <c r="B30" s="46">
        <v>45444</v>
      </c>
      <c r="C30">
        <v>68.64</v>
      </c>
      <c r="D30" s="47">
        <v>5.2699999999999997E-2</v>
      </c>
      <c r="E30" s="52">
        <f t="shared" si="1"/>
        <v>1.3735046521931915E-2</v>
      </c>
      <c r="F30" s="53">
        <f t="shared" si="2"/>
        <v>4.0427397260273962E-3</v>
      </c>
      <c r="G30" s="51">
        <f t="shared" si="3"/>
        <v>9.6923067959045189E-3</v>
      </c>
      <c r="I30" s="8">
        <f t="shared" si="0"/>
        <v>68.64</v>
      </c>
      <c r="J30" s="52">
        <f t="shared" si="4"/>
        <v>1.3735046521931915E-2</v>
      </c>
      <c r="K30" s="48">
        <v>18710</v>
      </c>
      <c r="L30" s="52">
        <f t="shared" si="5"/>
        <v>3.7916400854297816E-2</v>
      </c>
      <c r="M30" s="1"/>
      <c r="N30" s="1"/>
      <c r="O30" s="1"/>
      <c r="P30" s="33"/>
      <c r="Q30" s="68">
        <f>Q28-Q29</f>
        <v>7.1896773584393711E-2</v>
      </c>
      <c r="R30" s="31">
        <f>IF(Q28&lt;Q29,0,1)</f>
        <v>1</v>
      </c>
    </row>
    <row r="31" spans="2:18" ht="17" thickBot="1" x14ac:dyDescent="0.25">
      <c r="B31" s="46">
        <v>45474</v>
      </c>
      <c r="C31">
        <v>77.23</v>
      </c>
      <c r="D31" s="47">
        <v>5.28E-2</v>
      </c>
      <c r="E31" s="52">
        <f t="shared" si="1"/>
        <v>0.12514568764568779</v>
      </c>
      <c r="F31" s="53">
        <f t="shared" si="2"/>
        <v>4.0504109589041097E-3</v>
      </c>
      <c r="G31" s="51">
        <f t="shared" si="3"/>
        <v>0.12109527668678367</v>
      </c>
      <c r="H31" s="1"/>
      <c r="I31" s="8">
        <f t="shared" si="0"/>
        <v>77.23</v>
      </c>
      <c r="J31" s="52">
        <f t="shared" si="4"/>
        <v>0.12514568764568779</v>
      </c>
      <c r="K31" s="48">
        <v>19292.2</v>
      </c>
      <c r="L31" s="52">
        <f t="shared" si="5"/>
        <v>3.1117049706039568E-2</v>
      </c>
      <c r="M31" s="1"/>
      <c r="N31" s="1"/>
      <c r="O31" s="1"/>
      <c r="P31" s="30"/>
      <c r="Q31" s="69"/>
      <c r="R31" s="133">
        <f>SUM(R10:R30)/8</f>
        <v>0.625</v>
      </c>
    </row>
    <row r="32" spans="2:18" x14ac:dyDescent="0.2">
      <c r="B32" s="46">
        <v>45505</v>
      </c>
      <c r="C32">
        <v>80.75</v>
      </c>
      <c r="D32" s="47">
        <v>5.1799999999999999E-2</v>
      </c>
      <c r="E32" s="52">
        <f t="shared" si="1"/>
        <v>4.5578143208597544E-2</v>
      </c>
      <c r="F32" s="53">
        <f t="shared" si="2"/>
        <v>3.9736986301369863E-3</v>
      </c>
      <c r="G32" s="51">
        <f t="shared" si="3"/>
        <v>4.1604444578460555E-2</v>
      </c>
      <c r="H32" s="1"/>
      <c r="I32" s="8">
        <f t="shared" si="0"/>
        <v>80.75</v>
      </c>
      <c r="J32" s="52">
        <f t="shared" si="4"/>
        <v>4.5578143208597544E-2</v>
      </c>
      <c r="K32" s="48">
        <v>19516.400000000001</v>
      </c>
      <c r="L32" s="52">
        <f t="shared" si="5"/>
        <v>1.1621276992774376E-2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81.95</v>
      </c>
      <c r="D33" s="47">
        <v>4.7399999999999998E-2</v>
      </c>
      <c r="E33" s="52">
        <f t="shared" si="1"/>
        <v>1.4860681114551078E-2</v>
      </c>
      <c r="F33" s="53">
        <f t="shared" si="2"/>
        <v>3.6361643835616433E-3</v>
      </c>
      <c r="G33" s="51">
        <f t="shared" si="3"/>
        <v>1.1224516730989434E-2</v>
      </c>
      <c r="H33" s="1"/>
      <c r="I33" s="8">
        <f t="shared" si="0"/>
        <v>81.95</v>
      </c>
      <c r="J33" s="52">
        <f t="shared" si="4"/>
        <v>1.4860681114551078E-2</v>
      </c>
      <c r="K33" s="48">
        <v>19239</v>
      </c>
      <c r="L33" s="52">
        <f t="shared" si="5"/>
        <v>-1.4213686950462212E-2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92.5</v>
      </c>
      <c r="D34" s="47">
        <v>4.58E-2</v>
      </c>
      <c r="E34" s="52">
        <f t="shared" si="1"/>
        <v>0.12873703477730314</v>
      </c>
      <c r="F34" s="53">
        <f t="shared" si="2"/>
        <v>3.5134246575342465E-3</v>
      </c>
      <c r="G34" s="51">
        <f t="shared" si="3"/>
        <v>0.1252236101197689</v>
      </c>
      <c r="H34" s="1"/>
      <c r="I34" s="8">
        <f t="shared" si="0"/>
        <v>92.5</v>
      </c>
      <c r="J34" s="52">
        <f t="shared" si="4"/>
        <v>0.12873703477730314</v>
      </c>
      <c r="K34" s="48">
        <v>20272</v>
      </c>
      <c r="L34" s="52">
        <f t="shared" si="5"/>
        <v>5.3693019387702101E-2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90.35</v>
      </c>
      <c r="D35" s="47">
        <v>4.5499999999999999E-2</v>
      </c>
      <c r="E35" s="52">
        <f t="shared" si="1"/>
        <v>-2.3243243243243339E-2</v>
      </c>
      <c r="F35" s="53">
        <f t="shared" si="2"/>
        <v>3.4904109589041091E-3</v>
      </c>
      <c r="G35" s="51">
        <f t="shared" si="3"/>
        <v>-2.6733654202147447E-2</v>
      </c>
      <c r="H35" s="1"/>
      <c r="I35" s="8">
        <f t="shared" si="0"/>
        <v>90.35</v>
      </c>
      <c r="J35" s="52">
        <f t="shared" si="4"/>
        <v>-2.3243243243243339E-2</v>
      </c>
      <c r="K35" s="48">
        <v>19097.099999999999</v>
      </c>
      <c r="L35" s="52">
        <f t="shared" si="5"/>
        <v>-5.7956787687450717E-2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98.16</v>
      </c>
      <c r="D36" s="47">
        <v>4.2200000000000001E-2</v>
      </c>
      <c r="E36" s="52">
        <f t="shared" si="1"/>
        <v>8.6441615938018801E-2</v>
      </c>
      <c r="F36" s="53">
        <f t="shared" si="2"/>
        <v>3.2372602739726029E-3</v>
      </c>
      <c r="G36" s="51">
        <f t="shared" si="3"/>
        <v>8.3204355664046201E-2</v>
      </c>
      <c r="H36" s="1"/>
      <c r="I36" s="8">
        <f t="shared" si="0"/>
        <v>98.16</v>
      </c>
      <c r="J36" s="52">
        <f t="shared" si="4"/>
        <v>8.6441615938018801E-2</v>
      </c>
      <c r="K36" s="48">
        <v>19998.8</v>
      </c>
      <c r="L36" s="52">
        <f t="shared" si="5"/>
        <v>4.7216593095286807E-2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98.61</v>
      </c>
      <c r="D37" s="47">
        <v>4.2599999999999999E-2</v>
      </c>
      <c r="E37" s="52">
        <f t="shared" si="1"/>
        <v>4.5843520782395952E-3</v>
      </c>
      <c r="F37" s="53">
        <f t="shared" si="2"/>
        <v>3.267945205479452E-3</v>
      </c>
      <c r="G37" s="51">
        <f t="shared" si="3"/>
        <v>1.3164068727601432E-3</v>
      </c>
      <c r="H37" s="1"/>
      <c r="I37" s="8">
        <f t="shared" si="0"/>
        <v>98.61</v>
      </c>
      <c r="J37" s="52">
        <f t="shared" si="4"/>
        <v>4.5843520782395952E-3</v>
      </c>
      <c r="K37" s="48">
        <v>20028.2</v>
      </c>
      <c r="L37" s="52">
        <f t="shared" si="5"/>
        <v>1.4700882052924857E-3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87.79</v>
      </c>
      <c r="D38" s="47">
        <v>4.24E-2</v>
      </c>
      <c r="E38" s="52">
        <f t="shared" si="1"/>
        <v>-0.10972518000202813</v>
      </c>
      <c r="F38" s="53">
        <f t="shared" si="2"/>
        <v>3.2526027397260277E-3</v>
      </c>
      <c r="G38" s="51">
        <f t="shared" si="3"/>
        <v>-0.11297778274175416</v>
      </c>
      <c r="H38" s="1"/>
      <c r="I38" s="8">
        <f t="shared" si="0"/>
        <v>87.79</v>
      </c>
      <c r="J38" s="52">
        <f t="shared" si="4"/>
        <v>-0.10972518000202813</v>
      </c>
      <c r="K38" s="48">
        <v>19395.900000000001</v>
      </c>
      <c r="L38" s="52">
        <f t="shared" si="5"/>
        <v>-3.1570485615282418E-2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97.25</v>
      </c>
      <c r="D39" s="47">
        <v>4.24E-2</v>
      </c>
      <c r="E39" s="52">
        <f t="shared" si="1"/>
        <v>0.10775714773892231</v>
      </c>
      <c r="F39" s="53">
        <f t="shared" si="2"/>
        <v>3.2526027397260277E-3</v>
      </c>
      <c r="G39" s="51">
        <f t="shared" si="3"/>
        <v>0.10450454499919629</v>
      </c>
      <c r="H39" s="1"/>
      <c r="I39" s="8">
        <f t="shared" si="0"/>
        <v>97.25</v>
      </c>
      <c r="J39" s="52">
        <f t="shared" si="4"/>
        <v>0.10775714773892231</v>
      </c>
      <c r="K39" s="48">
        <v>19114.2</v>
      </c>
      <c r="L39" s="52">
        <f t="shared" si="5"/>
        <v>-1.4523687995916745E-2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98.72</v>
      </c>
      <c r="D40" s="47">
        <v>4.2299999999999997E-2</v>
      </c>
      <c r="E40" s="52">
        <f t="shared" si="1"/>
        <v>1.5115681233933254E-2</v>
      </c>
      <c r="F40" s="53">
        <f t="shared" si="2"/>
        <v>3.2449315068493151E-3</v>
      </c>
      <c r="G40" s="51">
        <f t="shared" si="3"/>
        <v>1.1870749727083938E-2</v>
      </c>
      <c r="H40" s="1"/>
      <c r="I40" s="8">
        <f t="shared" si="0"/>
        <v>98.72</v>
      </c>
      <c r="J40" s="52">
        <f t="shared" si="4"/>
        <v>1.5115681233933254E-2</v>
      </c>
      <c r="K40" s="48">
        <v>19783.8</v>
      </c>
      <c r="L40" s="52">
        <f t="shared" si="5"/>
        <v>3.5031547226669124E-2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94.44</v>
      </c>
      <c r="D41" s="47">
        <v>4.2200000000000001E-2</v>
      </c>
      <c r="E41" s="52">
        <f t="shared" si="1"/>
        <v>-4.3354943273905988E-2</v>
      </c>
      <c r="F41" s="53">
        <f t="shared" si="2"/>
        <v>3.2372602739726029E-3</v>
      </c>
      <c r="G41" s="51">
        <f t="shared" si="3"/>
        <v>-4.6592203547878588E-2</v>
      </c>
      <c r="H41" s="1"/>
      <c r="I41" s="8">
        <f t="shared" si="0"/>
        <v>94.44</v>
      </c>
      <c r="J41" s="52">
        <f t="shared" si="4"/>
        <v>-4.3354943273905988E-2</v>
      </c>
      <c r="K41" s="48">
        <v>19981.099999999999</v>
      </c>
      <c r="L41" s="52">
        <f t="shared" si="5"/>
        <v>9.9728060332191504E-3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2.347358490491842E-2</v>
      </c>
      <c r="H43" s="1"/>
      <c r="I43" s="1"/>
      <c r="J43" s="1"/>
      <c r="K43" s="48" t="s">
        <v>65</v>
      </c>
      <c r="L43" s="82">
        <f>COVAR(J20:J41,L20:L41)</f>
        <v>7.5965397822105526E-4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1.3119365558916414E-3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0.57903255672662146</v>
      </c>
    </row>
    <row r="47" spans="2:18" x14ac:dyDescent="0.2">
      <c r="L47" s="166"/>
      <c r="M47" s="130"/>
    </row>
  </sheetData>
  <mergeCells count="1">
    <mergeCell ref="B4:D4"/>
  </mergeCells>
  <conditionalFormatting sqref="S10">
    <cfRule type="expression" dxfId="284" priority="19">
      <formula>IF($Q$10&gt;$Q$11,1,0)</formula>
    </cfRule>
  </conditionalFormatting>
  <conditionalFormatting sqref="Q10">
    <cfRule type="expression" dxfId="283" priority="10">
      <formula>IF($Q$10&lt;$Q$11,1,0)</formula>
    </cfRule>
    <cfRule type="expression" dxfId="282" priority="18">
      <formula>IF($Q$10&gt;$Q$11,1,0)</formula>
    </cfRule>
  </conditionalFormatting>
  <conditionalFormatting sqref="Q12">
    <cfRule type="expression" dxfId="281" priority="9">
      <formula>IF($Q$12&gt;$Q$13,1,0)</formula>
    </cfRule>
    <cfRule type="expression" dxfId="280" priority="17">
      <formula>IF($Q$12&lt;$Q$13,1,0)</formula>
    </cfRule>
  </conditionalFormatting>
  <conditionalFormatting sqref="Q14">
    <cfRule type="expression" dxfId="279" priority="16">
      <formula>IF($Q$15="Sell",1,0)</formula>
    </cfRule>
  </conditionalFormatting>
  <conditionalFormatting sqref="Q14:Q15">
    <cfRule type="expression" dxfId="278" priority="15">
      <formula>IF($Q$15="Buy",1,0)</formula>
    </cfRule>
  </conditionalFormatting>
  <conditionalFormatting sqref="Q16">
    <cfRule type="expression" dxfId="277" priority="13">
      <formula>IF($Q$16&lt;$Q$17,1,0)</formula>
    </cfRule>
    <cfRule type="expression" dxfId="276" priority="14">
      <formula>IF($Q$16&gt;$Q$17,1,0)</formula>
    </cfRule>
  </conditionalFormatting>
  <conditionalFormatting sqref="Q18">
    <cfRule type="expression" dxfId="275" priority="11">
      <formula>IF($Q$18&lt;$Q$19,1,0)</formula>
    </cfRule>
    <cfRule type="expression" dxfId="274" priority="12">
      <formula>IF($Q$18&gt;$Q$19,1,0)</formula>
    </cfRule>
  </conditionalFormatting>
  <conditionalFormatting sqref="Q23">
    <cfRule type="expression" dxfId="273" priority="7">
      <formula>IF($Q$23&lt;1.1,1,0)</formula>
    </cfRule>
    <cfRule type="expression" dxfId="272" priority="8">
      <formula>IF($Q$23&gt;1.1,1,0)</formula>
    </cfRule>
  </conditionalFormatting>
  <conditionalFormatting sqref="Q26">
    <cfRule type="expression" dxfId="271" priority="5">
      <formula>IF($Q$26&lt;$Q$19,1,0)</formula>
    </cfRule>
    <cfRule type="expression" dxfId="270" priority="6">
      <formula>IF($Q$26&gt;$Q$19,1,0)</formula>
    </cfRule>
  </conditionalFormatting>
  <conditionalFormatting sqref="Q30">
    <cfRule type="expression" dxfId="269" priority="3">
      <formula>IF($Q$28&lt;$Q$29,1,0)</formula>
    </cfRule>
    <cfRule type="expression" dxfId="268" priority="4">
      <formula>IF($Q$28&gt;$Q$29,1,0)</formula>
    </cfRule>
  </conditionalFormatting>
  <conditionalFormatting sqref="R31">
    <cfRule type="expression" dxfId="267" priority="1">
      <formula>IF($R$31&lt;0.485,1,0)</formula>
    </cfRule>
    <cfRule type="expression" dxfId="266" priority="2">
      <formula>IF($R$31&gt;0.49,1,0)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7F77E-9763-4823-ADCD-A1D4E02BC3E3}">
  <sheetPr codeName="Sheet23"/>
  <dimension ref="B2:R45"/>
  <sheetViews>
    <sheetView topLeftCell="A5" zoomScale="85" zoomScaleNormal="85" workbookViewId="0">
      <selection activeCell="A30" sqref="A30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184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185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CRM</v>
      </c>
      <c r="R5" s="8"/>
    </row>
    <row r="6" spans="2:18" x14ac:dyDescent="0.2">
      <c r="B6" s="1" t="s">
        <v>4</v>
      </c>
      <c r="C6" s="1" t="s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NYSE</v>
      </c>
      <c r="R6" s="8"/>
    </row>
    <row r="7" spans="2:18" x14ac:dyDescent="0.2">
      <c r="B7" s="1" t="s">
        <v>7</v>
      </c>
      <c r="C7" s="13">
        <v>45821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258.39999999999998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40.020000000000003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-0.53</v>
      </c>
      <c r="R11" s="31">
        <f>IF(Q10&gt;Q11,0,1)</f>
        <v>0</v>
      </c>
    </row>
    <row r="12" spans="2:18" x14ac:dyDescent="0.2">
      <c r="B12" s="1" t="s">
        <v>26</v>
      </c>
      <c r="C12" s="32">
        <f>Q23</f>
        <v>1.38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2.58</v>
      </c>
      <c r="R12" s="25"/>
    </row>
    <row r="13" spans="2:18" x14ac:dyDescent="0.2">
      <c r="B13" s="1" t="s">
        <v>30</v>
      </c>
      <c r="C13" s="26">
        <f>G43</f>
        <v>7.2394150191080475E-3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2.54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5.0690392726369105E-2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-2.4300000000000002</v>
      </c>
      <c r="R14" s="31"/>
    </row>
    <row r="15" spans="2:18" ht="19" x14ac:dyDescent="0.25">
      <c r="B15" s="1" t="s">
        <v>36</v>
      </c>
      <c r="C15" s="39">
        <f>C10*(1+C14)</f>
        <v>271.49839748049374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f>IF(Q15="Sell",0,1)</f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18.190000000000001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35.9</v>
      </c>
      <c r="R17" s="42">
        <f>IF(Q16&lt;Q17,0,1)</f>
        <v>0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Salesforce Inc</v>
      </c>
      <c r="J18" s="34" t="s">
        <v>45</v>
      </c>
      <c r="K18" s="34" t="str">
        <f>_xlfn.CONCAT("Precio ",C6)</f>
        <v>Precio NYSE</v>
      </c>
      <c r="L18" s="34" t="s">
        <v>46</v>
      </c>
      <c r="M18" s="1"/>
      <c r="N18" s="21"/>
      <c r="O18" s="22"/>
      <c r="P18" s="23" t="s">
        <v>47</v>
      </c>
      <c r="Q18" s="137">
        <f>C14</f>
        <v>5.0690392726369105E-2</v>
      </c>
      <c r="R18" s="25"/>
    </row>
    <row r="19" spans="2:18" x14ac:dyDescent="0.2">
      <c r="B19" s="46">
        <v>45108</v>
      </c>
      <c r="C19">
        <v>221.46</v>
      </c>
      <c r="D19" s="47">
        <v>5.2699999999999997E-2</v>
      </c>
      <c r="E19" s="1"/>
      <c r="F19" s="1"/>
      <c r="G19" s="1"/>
      <c r="H19" s="1"/>
      <c r="I19" s="8">
        <f>C19</f>
        <v>221.46</v>
      </c>
      <c r="J19" s="8"/>
      <c r="K19" s="48">
        <v>16000.4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202.78</v>
      </c>
      <c r="D20" s="47">
        <v>5.28E-2</v>
      </c>
      <c r="E20" s="52">
        <f>C20/C19-1</f>
        <v>-8.4349318161293318E-2</v>
      </c>
      <c r="F20" s="53">
        <f>D20/365*28</f>
        <v>4.0504109589041097E-3</v>
      </c>
      <c r="G20" s="51">
        <f>E20-F20</f>
        <v>-8.8399729120197432E-2</v>
      </c>
      <c r="H20" s="1"/>
      <c r="I20" s="8">
        <f t="shared" ref="I20:I41" si="0">C20</f>
        <v>202.78</v>
      </c>
      <c r="J20" s="52">
        <f>I20/I19-1</f>
        <v>-8.4349318161293318E-2</v>
      </c>
      <c r="K20" s="48">
        <v>15398.2</v>
      </c>
      <c r="L20" s="52">
        <f>K20/K19-1</f>
        <v>-3.7636559086022814E-2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200.83</v>
      </c>
      <c r="D21" s="47">
        <v>5.2900000000000003E-2</v>
      </c>
      <c r="E21" s="52">
        <f t="shared" ref="E21:E41" si="1">C21/C20-1</f>
        <v>-9.6163329716933976E-3</v>
      </c>
      <c r="F21" s="53">
        <f t="shared" ref="F21:F41" si="2">D21/365*28</f>
        <v>4.0580821917808214E-3</v>
      </c>
      <c r="G21" s="51">
        <f t="shared" ref="G21:G41" si="3">E21-F21</f>
        <v>-1.3674415163474219E-2</v>
      </c>
      <c r="H21" s="1"/>
      <c r="I21" s="8">
        <f t="shared" si="0"/>
        <v>200.83</v>
      </c>
      <c r="J21" s="52">
        <f t="shared" ref="J21:J41" si="4">I21/I20-1</f>
        <v>-9.6163329716933976E-3</v>
      </c>
      <c r="K21" s="48">
        <v>14919.2</v>
      </c>
      <c r="L21" s="52">
        <f t="shared" ref="L21:L41" si="5">K21/K20-1</f>
        <v>-3.1107532049200581E-2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251.9</v>
      </c>
      <c r="D22" s="47">
        <v>5.2900000000000003E-2</v>
      </c>
      <c r="E22" s="52">
        <f t="shared" si="1"/>
        <v>0.25429467709007603</v>
      </c>
      <c r="F22" s="53">
        <f t="shared" si="2"/>
        <v>4.0580821917808214E-3</v>
      </c>
      <c r="G22" s="51">
        <f t="shared" si="3"/>
        <v>0.25023659489829519</v>
      </c>
      <c r="H22" s="1"/>
      <c r="I22" s="8">
        <f t="shared" si="0"/>
        <v>251.9</v>
      </c>
      <c r="J22" s="52">
        <f t="shared" si="4"/>
        <v>0.25429467709007603</v>
      </c>
      <c r="K22" s="48">
        <v>16088.8</v>
      </c>
      <c r="L22" s="52">
        <f t="shared" si="5"/>
        <v>7.8395624430264155E-2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C23">
        <v>263.14</v>
      </c>
      <c r="D23" s="47">
        <v>5.2900000000000003E-2</v>
      </c>
      <c r="E23" s="52">
        <f t="shared" si="1"/>
        <v>4.4620881302103843E-2</v>
      </c>
      <c r="F23" s="53">
        <f t="shared" si="2"/>
        <v>4.0580821917808214E-3</v>
      </c>
      <c r="G23" s="51">
        <f t="shared" si="3"/>
        <v>4.0562799110323025E-2</v>
      </c>
      <c r="H23" s="1"/>
      <c r="I23" s="8">
        <f t="shared" si="0"/>
        <v>263.14</v>
      </c>
      <c r="J23" s="52">
        <f t="shared" si="4"/>
        <v>4.4620881302103843E-2</v>
      </c>
      <c r="K23" s="48">
        <v>16852.900000000001</v>
      </c>
      <c r="L23" s="52">
        <f t="shared" si="5"/>
        <v>4.7492665705335613E-2</v>
      </c>
      <c r="M23" s="1"/>
      <c r="N23" s="57" t="s">
        <v>51</v>
      </c>
      <c r="O23" s="58" t="s">
        <v>52</v>
      </c>
      <c r="P23" s="59" t="s">
        <v>44</v>
      </c>
      <c r="Q23" s="128">
        <v>1.38</v>
      </c>
      <c r="R23" s="61">
        <f>IF(Q23&gt;1.1,0,1)</f>
        <v>0</v>
      </c>
    </row>
    <row r="24" spans="2:18" x14ac:dyDescent="0.2">
      <c r="B24" s="46">
        <v>45261</v>
      </c>
      <c r="C24">
        <v>281.08999999999997</v>
      </c>
      <c r="D24" s="47">
        <v>5.33E-2</v>
      </c>
      <c r="E24" s="52">
        <f t="shared" si="1"/>
        <v>6.8214638595424537E-2</v>
      </c>
      <c r="F24" s="53">
        <f t="shared" si="2"/>
        <v>4.0887671232876718E-3</v>
      </c>
      <c r="G24" s="51">
        <f t="shared" si="3"/>
        <v>6.4125871472136858E-2</v>
      </c>
      <c r="H24" s="1"/>
      <c r="I24" s="8">
        <f t="shared" si="0"/>
        <v>281.08999999999997</v>
      </c>
      <c r="J24" s="52">
        <f t="shared" si="4"/>
        <v>6.8214638595424537E-2</v>
      </c>
      <c r="K24" s="48">
        <v>16911.099999999999</v>
      </c>
      <c r="L24" s="52">
        <f t="shared" si="5"/>
        <v>3.4534115790159081E-3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308.82</v>
      </c>
      <c r="D25" s="47">
        <v>5.2699999999999997E-2</v>
      </c>
      <c r="E25" s="52">
        <f t="shared" si="1"/>
        <v>9.8651677398698068E-2</v>
      </c>
      <c r="F25" s="53">
        <f t="shared" si="2"/>
        <v>4.0427397260273962E-3</v>
      </c>
      <c r="G25" s="51">
        <f t="shared" si="3"/>
        <v>9.4608937672670673E-2</v>
      </c>
      <c r="H25" s="1"/>
      <c r="I25" s="8">
        <f t="shared" si="0"/>
        <v>308.82</v>
      </c>
      <c r="J25" s="52">
        <f t="shared" si="4"/>
        <v>9.8651677398698068E-2</v>
      </c>
      <c r="K25" s="48">
        <v>17607.400000000001</v>
      </c>
      <c r="L25" s="52">
        <f t="shared" si="5"/>
        <v>4.1174140061853048E-2</v>
      </c>
      <c r="M25" s="1"/>
      <c r="N25" s="30"/>
      <c r="O25" s="64"/>
      <c r="P25" s="30" t="s">
        <v>23</v>
      </c>
      <c r="Q25" s="84">
        <f>Q10</f>
        <v>40.020000000000003</v>
      </c>
      <c r="R25" s="31"/>
    </row>
    <row r="26" spans="2:18" x14ac:dyDescent="0.2">
      <c r="B26" s="46">
        <v>45323</v>
      </c>
      <c r="C26">
        <v>301.18</v>
      </c>
      <c r="D26" s="47">
        <v>5.2999999999999999E-2</v>
      </c>
      <c r="E26" s="52">
        <f t="shared" si="1"/>
        <v>-2.4739330354251576E-2</v>
      </c>
      <c r="F26" s="53">
        <f t="shared" si="2"/>
        <v>4.0657534246575349E-3</v>
      </c>
      <c r="G26" s="51">
        <f t="shared" si="3"/>
        <v>-2.8805083778909113E-2</v>
      </c>
      <c r="H26" s="1"/>
      <c r="I26" s="8">
        <f t="shared" si="0"/>
        <v>301.18</v>
      </c>
      <c r="J26" s="52">
        <f t="shared" si="4"/>
        <v>-2.4739330354251576E-2</v>
      </c>
      <c r="K26" s="48">
        <v>18312.7</v>
      </c>
      <c r="L26" s="52">
        <f t="shared" si="5"/>
        <v>4.0057021479605215E-2</v>
      </c>
      <c r="M26" s="1"/>
      <c r="N26" s="49" t="s">
        <v>54</v>
      </c>
      <c r="O26" s="64"/>
      <c r="P26" s="30" t="s">
        <v>55</v>
      </c>
      <c r="Q26" s="132">
        <f>1/Q25</f>
        <v>2.498750624687656E-2</v>
      </c>
      <c r="R26" s="31">
        <f>IF(Q26&lt;Q19,0,1)</f>
        <v>0</v>
      </c>
    </row>
    <row r="27" spans="2:18" x14ac:dyDescent="0.2">
      <c r="B27" s="46">
        <v>45352</v>
      </c>
      <c r="C27">
        <v>268.94</v>
      </c>
      <c r="D27" s="47">
        <v>5.2900000000000003E-2</v>
      </c>
      <c r="E27" s="52">
        <f t="shared" si="1"/>
        <v>-0.10704562055913414</v>
      </c>
      <c r="F27" s="53">
        <f t="shared" si="2"/>
        <v>4.0580821917808214E-3</v>
      </c>
      <c r="G27" s="51">
        <f t="shared" si="3"/>
        <v>-0.11110370275091495</v>
      </c>
      <c r="H27" s="1"/>
      <c r="I27" s="8">
        <f t="shared" si="0"/>
        <v>268.94</v>
      </c>
      <c r="J27" s="52">
        <f t="shared" si="4"/>
        <v>-0.10704562055913414</v>
      </c>
      <c r="K27" s="48">
        <v>17603.3</v>
      </c>
      <c r="L27" s="52">
        <f t="shared" si="5"/>
        <v>-3.8738143474201014E-2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234.44</v>
      </c>
      <c r="D28" s="47">
        <v>5.28E-2</v>
      </c>
      <c r="E28" s="52">
        <f t="shared" si="1"/>
        <v>-0.12828140105599761</v>
      </c>
      <c r="F28" s="53">
        <f t="shared" si="2"/>
        <v>4.0504109589041097E-3</v>
      </c>
      <c r="G28" s="51">
        <f t="shared" si="3"/>
        <v>-0.13233181201490171</v>
      </c>
      <c r="H28" s="1"/>
      <c r="I28" s="8">
        <f t="shared" si="0"/>
        <v>234.44</v>
      </c>
      <c r="J28" s="52">
        <f t="shared" si="4"/>
        <v>-0.12828140105599761</v>
      </c>
      <c r="K28" s="48">
        <v>18083.7</v>
      </c>
      <c r="L28" s="52">
        <f t="shared" si="5"/>
        <v>2.7290337607153381E-2</v>
      </c>
      <c r="M28" s="1"/>
      <c r="N28" s="30"/>
      <c r="O28" s="1"/>
      <c r="P28" s="30" t="s">
        <v>57</v>
      </c>
      <c r="Q28" s="51">
        <f>Q18</f>
        <v>5.0690392726369105E-2</v>
      </c>
      <c r="R28" s="31"/>
    </row>
    <row r="29" spans="2:18" x14ac:dyDescent="0.2">
      <c r="B29" s="46">
        <v>45413</v>
      </c>
      <c r="C29">
        <v>257.10000000000002</v>
      </c>
      <c r="D29" s="47">
        <v>5.2699999999999997E-2</v>
      </c>
      <c r="E29" s="52">
        <f t="shared" si="1"/>
        <v>9.6655860774611968E-2</v>
      </c>
      <c r="F29" s="53">
        <f t="shared" si="2"/>
        <v>4.0427397260273962E-3</v>
      </c>
      <c r="G29" s="51">
        <f t="shared" si="3"/>
        <v>9.2613121048584574E-2</v>
      </c>
      <c r="H29" s="1"/>
      <c r="I29" s="8">
        <f t="shared" si="0"/>
        <v>257.10000000000002</v>
      </c>
      <c r="J29" s="52">
        <f t="shared" si="4"/>
        <v>9.6655860774611968E-2</v>
      </c>
      <c r="K29" s="48">
        <v>18026.5</v>
      </c>
      <c r="L29" s="52">
        <f t="shared" si="5"/>
        <v>-3.1630695045815616E-3</v>
      </c>
      <c r="M29" s="1"/>
      <c r="N29" s="49" t="s">
        <v>117</v>
      </c>
      <c r="O29" s="1"/>
      <c r="P29" s="30" t="s">
        <v>58</v>
      </c>
      <c r="Q29" s="67">
        <v>-0.10639999999999999</v>
      </c>
      <c r="R29" s="31"/>
    </row>
    <row r="30" spans="2:18" ht="17" thickBot="1" x14ac:dyDescent="0.25">
      <c r="B30" s="46">
        <v>45444</v>
      </c>
      <c r="C30">
        <v>258.8</v>
      </c>
      <c r="D30" s="47">
        <v>5.2699999999999997E-2</v>
      </c>
      <c r="E30" s="52">
        <f t="shared" si="1"/>
        <v>6.612213146635515E-3</v>
      </c>
      <c r="F30" s="53">
        <f t="shared" si="2"/>
        <v>4.0427397260273962E-3</v>
      </c>
      <c r="G30" s="51">
        <f t="shared" si="3"/>
        <v>2.5694734206081187E-3</v>
      </c>
      <c r="I30" s="8">
        <f t="shared" si="0"/>
        <v>258.8</v>
      </c>
      <c r="J30" s="52">
        <f t="shared" si="4"/>
        <v>6.612213146635515E-3</v>
      </c>
      <c r="K30" s="48">
        <v>18710</v>
      </c>
      <c r="L30" s="52">
        <f t="shared" si="5"/>
        <v>3.7916400854297816E-2</v>
      </c>
      <c r="M30" s="1"/>
      <c r="N30" s="1"/>
      <c r="O30" s="1"/>
      <c r="P30" s="33"/>
      <c r="Q30" s="68">
        <f>Q28-Q29</f>
        <v>0.1570903927263691</v>
      </c>
      <c r="R30" s="31">
        <f>IF(Q28&lt;Q29,0,1)</f>
        <v>1</v>
      </c>
    </row>
    <row r="31" spans="2:18" ht="17" thickBot="1" x14ac:dyDescent="0.25">
      <c r="B31" s="46">
        <v>45474</v>
      </c>
      <c r="C31">
        <v>252.9</v>
      </c>
      <c r="D31" s="47">
        <v>5.28E-2</v>
      </c>
      <c r="E31" s="52">
        <f t="shared" si="1"/>
        <v>-2.2797527047913491E-2</v>
      </c>
      <c r="F31" s="53">
        <f t="shared" si="2"/>
        <v>4.0504109589041097E-3</v>
      </c>
      <c r="G31" s="51">
        <f t="shared" si="3"/>
        <v>-2.68479380068176E-2</v>
      </c>
      <c r="H31" s="1"/>
      <c r="I31" s="8">
        <f t="shared" si="0"/>
        <v>252.9</v>
      </c>
      <c r="J31" s="52">
        <f t="shared" si="4"/>
        <v>-2.2797527047913491E-2</v>
      </c>
      <c r="K31" s="48">
        <v>19292.2</v>
      </c>
      <c r="L31" s="52">
        <f t="shared" si="5"/>
        <v>3.1117049706039568E-2</v>
      </c>
      <c r="M31" s="1"/>
      <c r="N31" s="1"/>
      <c r="O31" s="1"/>
      <c r="P31" s="30"/>
      <c r="Q31" s="69"/>
      <c r="R31" s="133">
        <f>SUM(R10:R30)/8</f>
        <v>0.375</v>
      </c>
    </row>
    <row r="32" spans="2:18" x14ac:dyDescent="0.2">
      <c r="B32" s="46">
        <v>45505</v>
      </c>
      <c r="C32">
        <v>273.70999999999998</v>
      </c>
      <c r="D32" s="47">
        <v>5.1799999999999999E-2</v>
      </c>
      <c r="E32" s="52">
        <f t="shared" si="1"/>
        <v>8.2285488335310353E-2</v>
      </c>
      <c r="F32" s="53">
        <f t="shared" si="2"/>
        <v>3.9736986301369863E-3</v>
      </c>
      <c r="G32" s="51">
        <f t="shared" si="3"/>
        <v>7.8311789705173371E-2</v>
      </c>
      <c r="H32" s="1"/>
      <c r="I32" s="8">
        <f t="shared" si="0"/>
        <v>273.70999999999998</v>
      </c>
      <c r="J32" s="52">
        <f t="shared" si="4"/>
        <v>8.2285488335310353E-2</v>
      </c>
      <c r="K32" s="48">
        <v>19516.400000000001</v>
      </c>
      <c r="L32" s="52">
        <f t="shared" si="5"/>
        <v>1.1621276992774376E-2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291.37</v>
      </c>
      <c r="D33" s="47">
        <v>4.7399999999999998E-2</v>
      </c>
      <c r="E33" s="52">
        <f t="shared" si="1"/>
        <v>6.4520843228234259E-2</v>
      </c>
      <c r="F33" s="53">
        <f t="shared" si="2"/>
        <v>3.6361643835616433E-3</v>
      </c>
      <c r="G33" s="51">
        <f t="shared" si="3"/>
        <v>6.0884678844672614E-2</v>
      </c>
      <c r="H33" s="1"/>
      <c r="I33" s="8">
        <f t="shared" si="0"/>
        <v>291.37</v>
      </c>
      <c r="J33" s="52">
        <f t="shared" si="4"/>
        <v>6.4520843228234259E-2</v>
      </c>
      <c r="K33" s="48">
        <v>19239</v>
      </c>
      <c r="L33" s="52">
        <f t="shared" si="5"/>
        <v>-1.4213686950462212E-2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329.99</v>
      </c>
      <c r="D34" s="47">
        <v>4.58E-2</v>
      </c>
      <c r="E34" s="52">
        <f t="shared" si="1"/>
        <v>0.13254624703984619</v>
      </c>
      <c r="F34" s="53">
        <f t="shared" si="2"/>
        <v>3.5134246575342465E-3</v>
      </c>
      <c r="G34" s="51">
        <f t="shared" si="3"/>
        <v>0.12903282238231195</v>
      </c>
      <c r="H34" s="1"/>
      <c r="I34" s="8">
        <f t="shared" si="0"/>
        <v>329.99</v>
      </c>
      <c r="J34" s="52">
        <f t="shared" si="4"/>
        <v>0.13254624703984619</v>
      </c>
      <c r="K34" s="48">
        <v>20272</v>
      </c>
      <c r="L34" s="52">
        <f t="shared" si="5"/>
        <v>5.3693019387702101E-2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334.33</v>
      </c>
      <c r="D35" s="47">
        <v>4.5499999999999999E-2</v>
      </c>
      <c r="E35" s="52">
        <f t="shared" si="1"/>
        <v>1.3151913694354311E-2</v>
      </c>
      <c r="F35" s="53">
        <f t="shared" si="2"/>
        <v>3.4904109589041091E-3</v>
      </c>
      <c r="G35" s="51">
        <f t="shared" si="3"/>
        <v>9.6615027354502031E-3</v>
      </c>
      <c r="H35" s="1"/>
      <c r="I35" s="8">
        <f t="shared" si="0"/>
        <v>334.33</v>
      </c>
      <c r="J35" s="52">
        <f t="shared" si="4"/>
        <v>1.3151913694354311E-2</v>
      </c>
      <c r="K35" s="48">
        <v>19097.099999999999</v>
      </c>
      <c r="L35" s="52">
        <f t="shared" si="5"/>
        <v>-5.7956787687450717E-2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341.7</v>
      </c>
      <c r="D36" s="47">
        <v>4.2200000000000001E-2</v>
      </c>
      <c r="E36" s="52">
        <f t="shared" si="1"/>
        <v>2.2044088176352616E-2</v>
      </c>
      <c r="F36" s="53">
        <f t="shared" si="2"/>
        <v>3.2372602739726029E-3</v>
      </c>
      <c r="G36" s="51">
        <f t="shared" si="3"/>
        <v>1.8806827902380013E-2</v>
      </c>
      <c r="H36" s="1"/>
      <c r="I36" s="8">
        <f t="shared" si="0"/>
        <v>341.7</v>
      </c>
      <c r="J36" s="52">
        <f t="shared" si="4"/>
        <v>2.2044088176352616E-2</v>
      </c>
      <c r="K36" s="48">
        <v>19998.8</v>
      </c>
      <c r="L36" s="52">
        <f t="shared" si="5"/>
        <v>4.7216593095286807E-2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297.85000000000002</v>
      </c>
      <c r="D37" s="47">
        <v>4.2599999999999999E-2</v>
      </c>
      <c r="E37" s="52">
        <f t="shared" si="1"/>
        <v>-0.12832894351770552</v>
      </c>
      <c r="F37" s="53">
        <f t="shared" si="2"/>
        <v>3.267945205479452E-3</v>
      </c>
      <c r="G37" s="51">
        <f t="shared" si="3"/>
        <v>-0.13159688872318498</v>
      </c>
      <c r="H37" s="1"/>
      <c r="I37" s="8">
        <f t="shared" si="0"/>
        <v>297.85000000000002</v>
      </c>
      <c r="J37" s="52">
        <f t="shared" si="4"/>
        <v>-0.12832894351770552</v>
      </c>
      <c r="K37" s="48">
        <v>20028.2</v>
      </c>
      <c r="L37" s="52">
        <f t="shared" si="5"/>
        <v>1.4700882052924857E-3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268.36</v>
      </c>
      <c r="D38" s="47">
        <v>4.24E-2</v>
      </c>
      <c r="E38" s="52">
        <f t="shared" si="1"/>
        <v>-9.9009568574786044E-2</v>
      </c>
      <c r="F38" s="53">
        <f t="shared" si="2"/>
        <v>3.2526027397260277E-3</v>
      </c>
      <c r="G38" s="51">
        <f t="shared" si="3"/>
        <v>-0.10226217131451207</v>
      </c>
      <c r="H38" s="1"/>
      <c r="I38" s="8">
        <f t="shared" si="0"/>
        <v>268.36</v>
      </c>
      <c r="J38" s="52">
        <f t="shared" si="4"/>
        <v>-9.9009568574786044E-2</v>
      </c>
      <c r="K38" s="48">
        <v>19395.900000000001</v>
      </c>
      <c r="L38" s="52">
        <f t="shared" si="5"/>
        <v>-3.1570485615282418E-2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268.70999999999998</v>
      </c>
      <c r="D39" s="47">
        <v>4.24E-2</v>
      </c>
      <c r="E39" s="52">
        <f t="shared" si="1"/>
        <v>1.3042182143387926E-3</v>
      </c>
      <c r="F39" s="53">
        <f t="shared" si="2"/>
        <v>3.2526027397260277E-3</v>
      </c>
      <c r="G39" s="51">
        <f t="shared" si="3"/>
        <v>-1.9483845253872351E-3</v>
      </c>
      <c r="H39" s="1"/>
      <c r="I39" s="8">
        <f t="shared" si="0"/>
        <v>268.70999999999998</v>
      </c>
      <c r="J39" s="52">
        <f t="shared" si="4"/>
        <v>1.3042182143387926E-3</v>
      </c>
      <c r="K39" s="48">
        <v>19114.2</v>
      </c>
      <c r="L39" s="52">
        <f t="shared" si="5"/>
        <v>-1.4523687995916745E-2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265.37</v>
      </c>
      <c r="D40" s="47">
        <v>4.2299999999999997E-2</v>
      </c>
      <c r="E40" s="52">
        <f t="shared" si="1"/>
        <v>-1.2429756987086371E-2</v>
      </c>
      <c r="F40" s="53">
        <f t="shared" si="2"/>
        <v>3.2449315068493151E-3</v>
      </c>
      <c r="G40" s="51">
        <f t="shared" si="3"/>
        <v>-1.5674688493935687E-2</v>
      </c>
      <c r="H40" s="1"/>
      <c r="I40" s="8">
        <f t="shared" si="0"/>
        <v>265.37</v>
      </c>
      <c r="J40" s="52">
        <f t="shared" si="4"/>
        <v>-1.2429756987086371E-2</v>
      </c>
      <c r="K40" s="48">
        <v>19783.8</v>
      </c>
      <c r="L40" s="52">
        <f t="shared" si="5"/>
        <v>3.5031547226669124E-2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258.39999999999998</v>
      </c>
      <c r="D41" s="47">
        <v>4.2200000000000001E-2</v>
      </c>
      <c r="E41" s="52">
        <f t="shared" si="1"/>
        <v>-2.6265214606021936E-2</v>
      </c>
      <c r="F41" s="53">
        <f t="shared" si="2"/>
        <v>3.2372602739726029E-3</v>
      </c>
      <c r="G41" s="51">
        <f t="shared" si="3"/>
        <v>-2.950247487999454E-2</v>
      </c>
      <c r="H41" s="1"/>
      <c r="I41" s="8">
        <f t="shared" si="0"/>
        <v>258.39999999999998</v>
      </c>
      <c r="J41" s="52">
        <f t="shared" si="4"/>
        <v>-2.6265214606021936E-2</v>
      </c>
      <c r="K41" s="48">
        <v>19981.099999999999</v>
      </c>
      <c r="L41" s="52">
        <f t="shared" si="5"/>
        <v>9.9728060332191504E-3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7.2394150191080475E-3</v>
      </c>
      <c r="H43" s="1"/>
      <c r="I43" s="1"/>
      <c r="J43" s="1"/>
      <c r="K43" s="48" t="s">
        <v>65</v>
      </c>
      <c r="L43" s="82">
        <f>COVAR(J20:J41,L20:L41)</f>
        <v>1.6256619838670348E-3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1.3119365558916414E-3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1.2391315544692432</v>
      </c>
    </row>
  </sheetData>
  <mergeCells count="1">
    <mergeCell ref="B4:D4"/>
  </mergeCells>
  <conditionalFormatting sqref="S10">
    <cfRule type="expression" dxfId="265" priority="19">
      <formula>IF($Q$10&gt;$Q$11,1,0)</formula>
    </cfRule>
  </conditionalFormatting>
  <conditionalFormatting sqref="Q10">
    <cfRule type="expression" dxfId="264" priority="10">
      <formula>IF($Q$10&lt;$Q$11,1,0)</formula>
    </cfRule>
    <cfRule type="expression" dxfId="263" priority="18">
      <formula>IF($Q$10&gt;$Q$11,1,0)</formula>
    </cfRule>
  </conditionalFormatting>
  <conditionalFormatting sqref="Q12">
    <cfRule type="expression" dxfId="262" priority="9">
      <formula>IF($Q$12&gt;$Q$13,1,0)</formula>
    </cfRule>
    <cfRule type="expression" dxfId="261" priority="17">
      <formula>IF($Q$12&lt;$Q$13,1,0)</formula>
    </cfRule>
  </conditionalFormatting>
  <conditionalFormatting sqref="Q14">
    <cfRule type="expression" dxfId="260" priority="16">
      <formula>IF($Q$15="Sell",1,0)</formula>
    </cfRule>
  </conditionalFormatting>
  <conditionalFormatting sqref="Q14:Q15">
    <cfRule type="expression" dxfId="259" priority="15">
      <formula>IF($Q$15="Buy",1,0)</formula>
    </cfRule>
  </conditionalFormatting>
  <conditionalFormatting sqref="Q16">
    <cfRule type="expression" dxfId="258" priority="13">
      <formula>IF($Q$16&lt;$Q$17,1,0)</formula>
    </cfRule>
    <cfRule type="expression" dxfId="257" priority="14">
      <formula>IF($Q$16&gt;$Q$17,1,0)</formula>
    </cfRule>
  </conditionalFormatting>
  <conditionalFormatting sqref="Q18">
    <cfRule type="expression" dxfId="256" priority="11">
      <formula>IF($Q$18&lt;$Q$19,1,0)</formula>
    </cfRule>
    <cfRule type="expression" dxfId="255" priority="12">
      <formula>IF($Q$18&gt;$Q$19,1,0)</formula>
    </cfRule>
  </conditionalFormatting>
  <conditionalFormatting sqref="Q23">
    <cfRule type="expression" dxfId="254" priority="7">
      <formula>IF($Q$23&lt;1.1,1,0)</formula>
    </cfRule>
    <cfRule type="expression" dxfId="253" priority="8">
      <formula>IF($Q$23&gt;1.1,1,0)</formula>
    </cfRule>
  </conditionalFormatting>
  <conditionalFormatting sqref="Q26">
    <cfRule type="expression" dxfId="252" priority="5">
      <formula>IF($Q$26&lt;$Q$19,1,0)</formula>
    </cfRule>
    <cfRule type="expression" dxfId="251" priority="6">
      <formula>IF($Q$26&gt;$Q$19,1,0)</formula>
    </cfRule>
  </conditionalFormatting>
  <conditionalFormatting sqref="Q30">
    <cfRule type="expression" dxfId="250" priority="3">
      <formula>IF($Q$28&lt;$Q$29,1,0)</formula>
    </cfRule>
    <cfRule type="expression" dxfId="249" priority="4">
      <formula>IF($Q$28&gt;$Q$29,1,0)</formula>
    </cfRule>
  </conditionalFormatting>
  <conditionalFormatting sqref="R31">
    <cfRule type="expression" dxfId="248" priority="1">
      <formula>IF($R$31&lt;0.485,1,0)</formula>
    </cfRule>
    <cfRule type="expression" dxfId="247" priority="2">
      <formula>IF($R$31&gt;0.49,1,0)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06E8E-678C-4DAA-A569-2F22C20444BD}">
  <sheetPr codeName="Sheet22"/>
  <dimension ref="B2:R45"/>
  <sheetViews>
    <sheetView zoomScale="85" zoomScaleNormal="85" workbookViewId="0">
      <selection activeCell="A14" sqref="A14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183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183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RH</v>
      </c>
      <c r="R5" s="8"/>
    </row>
    <row r="6" spans="2:18" x14ac:dyDescent="0.2">
      <c r="B6" s="1" t="s">
        <v>4</v>
      </c>
      <c r="C6" s="1" t="s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NYSE</v>
      </c>
      <c r="R6" s="8"/>
    </row>
    <row r="7" spans="2:18" x14ac:dyDescent="0.2">
      <c r="B7" s="1" t="s">
        <v>7</v>
      </c>
      <c r="C7" s="13">
        <v>45821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189.12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42.93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28.95</v>
      </c>
      <c r="R11" s="31">
        <f>IF(Q10&gt;Q11,0,1)</f>
        <v>0</v>
      </c>
    </row>
    <row r="12" spans="2:18" x14ac:dyDescent="0.2">
      <c r="B12" s="1" t="s">
        <v>26</v>
      </c>
      <c r="C12" s="32">
        <f>Q23</f>
        <v>2.19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0.13</v>
      </c>
      <c r="R12" s="25"/>
    </row>
    <row r="13" spans="2:18" x14ac:dyDescent="0.2">
      <c r="B13" s="1" t="s">
        <v>30</v>
      </c>
      <c r="C13" s="26">
        <f>G43</f>
        <v>-1.5808704665903294E-2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-7.0000000000000007E-2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6.0789367816717899E-3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2.92</v>
      </c>
      <c r="R14" s="31"/>
    </row>
    <row r="15" spans="2:18" ht="19" x14ac:dyDescent="0.25">
      <c r="B15" s="1" t="s">
        <v>36</v>
      </c>
      <c r="C15" s="39">
        <f>C10*(1+C14)</f>
        <v>190.26964852414977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128</v>
      </c>
      <c r="R15" s="35">
        <f>IF(Q15="Sell",0,1)</f>
        <v>1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-22.43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-0.09</v>
      </c>
      <c r="R17" s="42">
        <f>IF(Q16&lt;Q17,0,1)</f>
        <v>0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RH</v>
      </c>
      <c r="J18" s="34" t="s">
        <v>45</v>
      </c>
      <c r="K18" s="34" t="str">
        <f>_xlfn.CONCAT("Precio ",C6)</f>
        <v>Precio NYSE</v>
      </c>
      <c r="L18" s="34" t="s">
        <v>46</v>
      </c>
      <c r="M18" s="1"/>
      <c r="N18" s="21"/>
      <c r="O18" s="22"/>
      <c r="P18" s="23" t="s">
        <v>47</v>
      </c>
      <c r="Q18" s="137">
        <f>C14</f>
        <v>6.0789367816717899E-3</v>
      </c>
      <c r="R18" s="25"/>
    </row>
    <row r="19" spans="2:18" x14ac:dyDescent="0.2">
      <c r="B19" s="46">
        <v>45108</v>
      </c>
      <c r="C19">
        <v>365.19</v>
      </c>
      <c r="D19" s="47">
        <v>5.2699999999999997E-2</v>
      </c>
      <c r="E19" s="1"/>
      <c r="F19" s="1"/>
      <c r="G19" s="1"/>
      <c r="H19" s="1"/>
      <c r="I19" s="8">
        <f>C19</f>
        <v>365.19</v>
      </c>
      <c r="J19" s="8"/>
      <c r="K19" s="48">
        <v>16000.4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264.36</v>
      </c>
      <c r="D20" s="47">
        <v>5.28E-2</v>
      </c>
      <c r="E20" s="52">
        <f>C20/C19-1</f>
        <v>-0.27610285057093564</v>
      </c>
      <c r="F20" s="53">
        <f>D20/365*28</f>
        <v>4.0504109589041097E-3</v>
      </c>
      <c r="G20" s="51">
        <f>E20-F20</f>
        <v>-0.28015326152983977</v>
      </c>
      <c r="H20" s="1"/>
      <c r="I20" s="8">
        <f t="shared" ref="I20:I41" si="0">C20</f>
        <v>264.36</v>
      </c>
      <c r="J20" s="52">
        <f>I20/I19-1</f>
        <v>-0.27610285057093564</v>
      </c>
      <c r="K20" s="48">
        <v>15398.2</v>
      </c>
      <c r="L20" s="52">
        <f>K20/K19-1</f>
        <v>-3.7636559086022814E-2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217.96</v>
      </c>
      <c r="D21" s="47">
        <v>5.2900000000000003E-2</v>
      </c>
      <c r="E21" s="52">
        <f t="shared" ref="E21:E41" si="1">C21/C20-1</f>
        <v>-0.17551823271296718</v>
      </c>
      <c r="F21" s="53">
        <f t="shared" ref="F21:F41" si="2">D21/365*28</f>
        <v>4.0580821917808214E-3</v>
      </c>
      <c r="G21" s="51">
        <f t="shared" ref="G21:G41" si="3">E21-F21</f>
        <v>-0.17957631490474801</v>
      </c>
      <c r="H21" s="1"/>
      <c r="I21" s="8">
        <f t="shared" si="0"/>
        <v>217.96</v>
      </c>
      <c r="J21" s="52">
        <f t="shared" ref="J21:J41" si="4">I21/I20-1</f>
        <v>-0.17551823271296718</v>
      </c>
      <c r="K21" s="48">
        <v>14919.2</v>
      </c>
      <c r="L21" s="52">
        <f t="shared" ref="L21:L41" si="5">K21/K20-1</f>
        <v>-3.1107532049200581E-2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269.97000000000003</v>
      </c>
      <c r="D22" s="47">
        <v>5.2900000000000003E-2</v>
      </c>
      <c r="E22" s="52">
        <f t="shared" si="1"/>
        <v>0.23862176546155256</v>
      </c>
      <c r="F22" s="53">
        <f t="shared" si="2"/>
        <v>4.0580821917808214E-3</v>
      </c>
      <c r="G22" s="51">
        <f t="shared" si="3"/>
        <v>0.23456368326977173</v>
      </c>
      <c r="H22" s="1"/>
      <c r="I22" s="8">
        <f t="shared" si="0"/>
        <v>269.97000000000003</v>
      </c>
      <c r="J22" s="52">
        <f t="shared" si="4"/>
        <v>0.23862176546155256</v>
      </c>
      <c r="K22" s="48">
        <v>16088.8</v>
      </c>
      <c r="L22" s="52">
        <f t="shared" si="5"/>
        <v>7.8395624430264155E-2</v>
      </c>
      <c r="M22" s="1"/>
      <c r="N22" s="28" t="s">
        <v>50</v>
      </c>
      <c r="O22" s="29"/>
      <c r="P22" s="33"/>
      <c r="Q22" s="56"/>
      <c r="R22" s="35">
        <f>IF(Q18&lt;Q19,0,1)</f>
        <v>0</v>
      </c>
    </row>
    <row r="23" spans="2:18" x14ac:dyDescent="0.2">
      <c r="B23" s="46">
        <v>45231</v>
      </c>
      <c r="C23">
        <v>291.48</v>
      </c>
      <c r="D23" s="47">
        <v>5.2900000000000003E-2</v>
      </c>
      <c r="E23" s="52">
        <f t="shared" si="1"/>
        <v>7.9675519502166781E-2</v>
      </c>
      <c r="F23" s="53">
        <f t="shared" si="2"/>
        <v>4.0580821917808214E-3</v>
      </c>
      <c r="G23" s="51">
        <f t="shared" si="3"/>
        <v>7.5617437310385963E-2</v>
      </c>
      <c r="H23" s="1"/>
      <c r="I23" s="8">
        <f t="shared" si="0"/>
        <v>291.48</v>
      </c>
      <c r="J23" s="52">
        <f t="shared" si="4"/>
        <v>7.9675519502166781E-2</v>
      </c>
      <c r="K23" s="48">
        <v>16852.900000000001</v>
      </c>
      <c r="L23" s="52">
        <f t="shared" si="5"/>
        <v>4.7492665705335613E-2</v>
      </c>
      <c r="M23" s="1"/>
      <c r="N23" s="57" t="s">
        <v>51</v>
      </c>
      <c r="O23" s="58" t="s">
        <v>52</v>
      </c>
      <c r="P23" s="59" t="s">
        <v>44</v>
      </c>
      <c r="Q23" s="128">
        <v>2.19</v>
      </c>
      <c r="R23" s="61">
        <f>IF(Q23&gt;1.1,0,1)</f>
        <v>0</v>
      </c>
    </row>
    <row r="24" spans="2:18" x14ac:dyDescent="0.2">
      <c r="B24" s="46">
        <v>45261</v>
      </c>
      <c r="C24">
        <v>253.48</v>
      </c>
      <c r="D24" s="47">
        <v>5.33E-2</v>
      </c>
      <c r="E24" s="52">
        <f t="shared" si="1"/>
        <v>-0.13036915054206133</v>
      </c>
      <c r="F24" s="53">
        <f t="shared" si="2"/>
        <v>4.0887671232876718E-3</v>
      </c>
      <c r="G24" s="51">
        <f t="shared" si="3"/>
        <v>-0.13445791766534901</v>
      </c>
      <c r="H24" s="1"/>
      <c r="I24" s="8">
        <f t="shared" si="0"/>
        <v>253.48</v>
      </c>
      <c r="J24" s="52">
        <f t="shared" si="4"/>
        <v>-0.13036915054206133</v>
      </c>
      <c r="K24" s="48">
        <v>16911.099999999999</v>
      </c>
      <c r="L24" s="52">
        <f t="shared" si="5"/>
        <v>3.4534115790159081E-3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274.39999999999998</v>
      </c>
      <c r="D25" s="47">
        <v>5.2699999999999997E-2</v>
      </c>
      <c r="E25" s="52">
        <f t="shared" si="1"/>
        <v>8.2531166166955883E-2</v>
      </c>
      <c r="F25" s="53">
        <f t="shared" si="2"/>
        <v>4.0427397260273962E-3</v>
      </c>
      <c r="G25" s="51">
        <f t="shared" si="3"/>
        <v>7.8488426440928488E-2</v>
      </c>
      <c r="H25" s="1"/>
      <c r="I25" s="8">
        <f t="shared" si="0"/>
        <v>274.39999999999998</v>
      </c>
      <c r="J25" s="52">
        <f t="shared" si="4"/>
        <v>8.2531166166955883E-2</v>
      </c>
      <c r="K25" s="48">
        <v>17607.400000000001</v>
      </c>
      <c r="L25" s="52">
        <f t="shared" si="5"/>
        <v>4.1174140061853048E-2</v>
      </c>
      <c r="M25" s="1"/>
      <c r="N25" s="30"/>
      <c r="O25" s="64"/>
      <c r="P25" s="30" t="s">
        <v>23</v>
      </c>
      <c r="Q25" s="84">
        <f>Q10</f>
        <v>42.93</v>
      </c>
      <c r="R25" s="31"/>
    </row>
    <row r="26" spans="2:18" x14ac:dyDescent="0.2">
      <c r="B26" s="46">
        <v>45323</v>
      </c>
      <c r="C26">
        <v>348.26</v>
      </c>
      <c r="D26" s="47">
        <v>5.2999999999999999E-2</v>
      </c>
      <c r="E26" s="52">
        <f t="shared" si="1"/>
        <v>0.26916909620991269</v>
      </c>
      <c r="F26" s="53">
        <f t="shared" si="2"/>
        <v>4.0657534246575349E-3</v>
      </c>
      <c r="G26" s="51">
        <f t="shared" si="3"/>
        <v>0.26510334278525516</v>
      </c>
      <c r="H26" s="1"/>
      <c r="I26" s="8">
        <f t="shared" si="0"/>
        <v>348.26</v>
      </c>
      <c r="J26" s="52">
        <f t="shared" si="4"/>
        <v>0.26916909620991269</v>
      </c>
      <c r="K26" s="48">
        <v>18312.7</v>
      </c>
      <c r="L26" s="52">
        <f t="shared" si="5"/>
        <v>4.0057021479605215E-2</v>
      </c>
      <c r="M26" s="1"/>
      <c r="N26" s="49" t="s">
        <v>54</v>
      </c>
      <c r="O26" s="64"/>
      <c r="P26" s="30" t="s">
        <v>55</v>
      </c>
      <c r="Q26" s="132">
        <f>1/Q25</f>
        <v>2.3293733985557886E-2</v>
      </c>
      <c r="R26" s="31">
        <f>IF(Q26&lt;Q19,0,1)</f>
        <v>0</v>
      </c>
    </row>
    <row r="27" spans="2:18" x14ac:dyDescent="0.2">
      <c r="B27" s="46">
        <v>45352</v>
      </c>
      <c r="C27">
        <v>247.05</v>
      </c>
      <c r="D27" s="47">
        <v>5.2900000000000003E-2</v>
      </c>
      <c r="E27" s="52">
        <f t="shared" si="1"/>
        <v>-0.29061620628266238</v>
      </c>
      <c r="F27" s="53">
        <f t="shared" si="2"/>
        <v>4.0580821917808214E-3</v>
      </c>
      <c r="G27" s="51">
        <f t="shared" si="3"/>
        <v>-0.29467428847444321</v>
      </c>
      <c r="H27" s="1"/>
      <c r="I27" s="8">
        <f t="shared" si="0"/>
        <v>247.05</v>
      </c>
      <c r="J27" s="52">
        <f t="shared" si="4"/>
        <v>-0.29061620628266238</v>
      </c>
      <c r="K27" s="48">
        <v>17603.3</v>
      </c>
      <c r="L27" s="52">
        <f t="shared" si="5"/>
        <v>-3.8738143474201014E-2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271.93</v>
      </c>
      <c r="D28" s="47">
        <v>5.28E-2</v>
      </c>
      <c r="E28" s="52">
        <f t="shared" si="1"/>
        <v>0.10070835863185579</v>
      </c>
      <c r="F28" s="53">
        <f t="shared" si="2"/>
        <v>4.0504109589041097E-3</v>
      </c>
      <c r="G28" s="51">
        <f t="shared" si="3"/>
        <v>9.6657947672951675E-2</v>
      </c>
      <c r="H28" s="1"/>
      <c r="I28" s="8">
        <f t="shared" si="0"/>
        <v>271.93</v>
      </c>
      <c r="J28" s="52">
        <f t="shared" si="4"/>
        <v>0.10070835863185579</v>
      </c>
      <c r="K28" s="48">
        <v>18083.7</v>
      </c>
      <c r="L28" s="52">
        <f t="shared" si="5"/>
        <v>2.7290337607153381E-2</v>
      </c>
      <c r="M28" s="1"/>
      <c r="N28" s="30"/>
      <c r="O28" s="1"/>
      <c r="P28" s="30" t="s">
        <v>57</v>
      </c>
      <c r="Q28" s="51">
        <f>Q18</f>
        <v>6.0789367816717899E-3</v>
      </c>
      <c r="R28" s="31"/>
    </row>
    <row r="29" spans="2:18" x14ac:dyDescent="0.2">
      <c r="B29" s="46">
        <v>45413</v>
      </c>
      <c r="C29">
        <v>244.44</v>
      </c>
      <c r="D29" s="47">
        <v>5.2699999999999997E-2</v>
      </c>
      <c r="E29" s="52">
        <f t="shared" si="1"/>
        <v>-0.1010921928437466</v>
      </c>
      <c r="F29" s="53">
        <f t="shared" si="2"/>
        <v>4.0427397260273962E-3</v>
      </c>
      <c r="G29" s="51">
        <f t="shared" si="3"/>
        <v>-0.10513493256977399</v>
      </c>
      <c r="H29" s="1"/>
      <c r="I29" s="8">
        <f t="shared" si="0"/>
        <v>244.44</v>
      </c>
      <c r="J29" s="52">
        <f t="shared" si="4"/>
        <v>-0.1010921928437466</v>
      </c>
      <c r="K29" s="48">
        <v>18026.5</v>
      </c>
      <c r="L29" s="52">
        <f t="shared" si="5"/>
        <v>-3.1630695045815616E-3</v>
      </c>
      <c r="M29" s="1"/>
      <c r="N29" s="49" t="s">
        <v>117</v>
      </c>
      <c r="O29" s="1"/>
      <c r="P29" s="30" t="s">
        <v>58</v>
      </c>
      <c r="Q29" s="67">
        <v>-0.16200000000000001</v>
      </c>
      <c r="R29" s="31"/>
    </row>
    <row r="30" spans="2:18" ht="17" thickBot="1" x14ac:dyDescent="0.25">
      <c r="B30" s="46">
        <v>45444</v>
      </c>
      <c r="C30">
        <v>290.08</v>
      </c>
      <c r="D30" s="47">
        <v>5.2699999999999997E-2</v>
      </c>
      <c r="E30" s="52">
        <f t="shared" si="1"/>
        <v>0.18671248568155785</v>
      </c>
      <c r="F30" s="53">
        <f t="shared" si="2"/>
        <v>4.0427397260273962E-3</v>
      </c>
      <c r="G30" s="51">
        <f t="shared" si="3"/>
        <v>0.18266974595553045</v>
      </c>
      <c r="I30" s="8">
        <f t="shared" si="0"/>
        <v>290.08</v>
      </c>
      <c r="J30" s="52">
        <f t="shared" si="4"/>
        <v>0.18671248568155785</v>
      </c>
      <c r="K30" s="48">
        <v>18710</v>
      </c>
      <c r="L30" s="52">
        <f t="shared" si="5"/>
        <v>3.7916400854297816E-2</v>
      </c>
      <c r="M30" s="1"/>
      <c r="N30" s="1"/>
      <c r="O30" s="1"/>
      <c r="P30" s="33"/>
      <c r="Q30" s="68">
        <f>Q28-Q29</f>
        <v>0.16807893678167179</v>
      </c>
      <c r="R30" s="31">
        <f>IF(Q28&lt;Q29,0,1)</f>
        <v>1</v>
      </c>
    </row>
    <row r="31" spans="2:18" ht="17" thickBot="1" x14ac:dyDescent="0.25">
      <c r="B31" s="46">
        <v>45474</v>
      </c>
      <c r="C31">
        <v>253.7</v>
      </c>
      <c r="D31" s="47">
        <v>5.28E-2</v>
      </c>
      <c r="E31" s="52">
        <f t="shared" si="1"/>
        <v>-0.12541367898510758</v>
      </c>
      <c r="F31" s="53">
        <f t="shared" si="2"/>
        <v>4.0504109589041097E-3</v>
      </c>
      <c r="G31" s="51">
        <f t="shared" si="3"/>
        <v>-0.12946408994401168</v>
      </c>
      <c r="H31" s="1"/>
      <c r="I31" s="8">
        <f t="shared" si="0"/>
        <v>253.7</v>
      </c>
      <c r="J31" s="52">
        <f t="shared" si="4"/>
        <v>-0.12541367898510758</v>
      </c>
      <c r="K31" s="48">
        <v>19292.2</v>
      </c>
      <c r="L31" s="52">
        <f t="shared" si="5"/>
        <v>3.1117049706039568E-2</v>
      </c>
      <c r="M31" s="1"/>
      <c r="N31" s="1"/>
      <c r="O31" s="1"/>
      <c r="P31" s="30"/>
      <c r="Q31" s="69"/>
      <c r="R31" s="133">
        <f>SUM(R10:R30)/8</f>
        <v>0.375</v>
      </c>
    </row>
    <row r="32" spans="2:18" x14ac:dyDescent="0.2">
      <c r="B32" s="46">
        <v>45505</v>
      </c>
      <c r="C32">
        <v>334.43</v>
      </c>
      <c r="D32" s="47">
        <v>5.1799999999999999E-2</v>
      </c>
      <c r="E32" s="52">
        <f t="shared" si="1"/>
        <v>0.31821048482459613</v>
      </c>
      <c r="F32" s="53">
        <f t="shared" si="2"/>
        <v>3.9736986301369863E-3</v>
      </c>
      <c r="G32" s="51">
        <f t="shared" si="3"/>
        <v>0.31423678619445916</v>
      </c>
      <c r="H32" s="1"/>
      <c r="I32" s="8">
        <f t="shared" si="0"/>
        <v>334.43</v>
      </c>
      <c r="J32" s="52">
        <f t="shared" si="4"/>
        <v>0.31821048482459613</v>
      </c>
      <c r="K32" s="48">
        <v>19516.400000000001</v>
      </c>
      <c r="L32" s="52">
        <f t="shared" si="5"/>
        <v>1.1621276992774376E-2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318.05</v>
      </c>
      <c r="D33" s="47">
        <v>4.7399999999999998E-2</v>
      </c>
      <c r="E33" s="52">
        <f t="shared" si="1"/>
        <v>-4.8978859552073706E-2</v>
      </c>
      <c r="F33" s="53">
        <f t="shared" si="2"/>
        <v>3.6361643835616433E-3</v>
      </c>
      <c r="G33" s="51">
        <f t="shared" si="3"/>
        <v>-5.2615023935635351E-2</v>
      </c>
      <c r="H33" s="1"/>
      <c r="I33" s="8">
        <f t="shared" si="0"/>
        <v>318.05</v>
      </c>
      <c r="J33" s="52">
        <f t="shared" si="4"/>
        <v>-4.8978859552073706E-2</v>
      </c>
      <c r="K33" s="48">
        <v>19239</v>
      </c>
      <c r="L33" s="52">
        <f t="shared" si="5"/>
        <v>-1.4213686950462212E-2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385.14</v>
      </c>
      <c r="D34" s="47">
        <v>4.58E-2</v>
      </c>
      <c r="E34" s="52">
        <f t="shared" si="1"/>
        <v>0.21094167583713253</v>
      </c>
      <c r="F34" s="53">
        <f t="shared" si="2"/>
        <v>3.5134246575342465E-3</v>
      </c>
      <c r="G34" s="51">
        <f t="shared" si="3"/>
        <v>0.20742825117959829</v>
      </c>
      <c r="H34" s="1"/>
      <c r="I34" s="8">
        <f t="shared" si="0"/>
        <v>385.14</v>
      </c>
      <c r="J34" s="52">
        <f t="shared" si="4"/>
        <v>0.21094167583713253</v>
      </c>
      <c r="K34" s="48">
        <v>20272</v>
      </c>
      <c r="L34" s="52">
        <f t="shared" si="5"/>
        <v>5.3693019387702101E-2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393.59</v>
      </c>
      <c r="D35" s="47">
        <v>4.5499999999999999E-2</v>
      </c>
      <c r="E35" s="52">
        <f t="shared" si="1"/>
        <v>2.1940073739419308E-2</v>
      </c>
      <c r="F35" s="53">
        <f t="shared" si="2"/>
        <v>3.4904109589041091E-3</v>
      </c>
      <c r="G35" s="51">
        <f t="shared" si="3"/>
        <v>1.84496627805152E-2</v>
      </c>
      <c r="H35" s="1"/>
      <c r="I35" s="8">
        <f t="shared" si="0"/>
        <v>393.59</v>
      </c>
      <c r="J35" s="52">
        <f t="shared" si="4"/>
        <v>2.1940073739419308E-2</v>
      </c>
      <c r="K35" s="48">
        <v>19097.099999999999</v>
      </c>
      <c r="L35" s="52">
        <f t="shared" si="5"/>
        <v>-5.7956787687450717E-2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419.11</v>
      </c>
      <c r="D36" s="47">
        <v>4.2200000000000001E-2</v>
      </c>
      <c r="E36" s="52">
        <f t="shared" si="1"/>
        <v>6.4839045707462128E-2</v>
      </c>
      <c r="F36" s="53">
        <f t="shared" si="2"/>
        <v>3.2372602739726029E-3</v>
      </c>
      <c r="G36" s="51">
        <f t="shared" si="3"/>
        <v>6.1601785433489528E-2</v>
      </c>
      <c r="H36" s="1"/>
      <c r="I36" s="8">
        <f t="shared" si="0"/>
        <v>419.11</v>
      </c>
      <c r="J36" s="52">
        <f t="shared" si="4"/>
        <v>6.4839045707462128E-2</v>
      </c>
      <c r="K36" s="48">
        <v>19998.8</v>
      </c>
      <c r="L36" s="52">
        <f t="shared" si="5"/>
        <v>4.7216593095286807E-2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322.07</v>
      </c>
      <c r="D37" s="47">
        <v>4.2599999999999999E-2</v>
      </c>
      <c r="E37" s="52">
        <f t="shared" si="1"/>
        <v>-0.23153825964543917</v>
      </c>
      <c r="F37" s="53">
        <f t="shared" si="2"/>
        <v>3.267945205479452E-3</v>
      </c>
      <c r="G37" s="51">
        <f t="shared" si="3"/>
        <v>-0.23480620485091863</v>
      </c>
      <c r="H37" s="1"/>
      <c r="I37" s="8">
        <f t="shared" si="0"/>
        <v>322.07</v>
      </c>
      <c r="J37" s="52">
        <f t="shared" si="4"/>
        <v>-0.23153825964543917</v>
      </c>
      <c r="K37" s="48">
        <v>20028.2</v>
      </c>
      <c r="L37" s="52">
        <f t="shared" si="5"/>
        <v>1.4700882052924857E-3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234.41</v>
      </c>
      <c r="D38" s="47">
        <v>4.24E-2</v>
      </c>
      <c r="E38" s="52">
        <f t="shared" si="1"/>
        <v>-0.27217685596298946</v>
      </c>
      <c r="F38" s="53">
        <f t="shared" si="2"/>
        <v>3.2526027397260277E-3</v>
      </c>
      <c r="G38" s="51">
        <f t="shared" si="3"/>
        <v>-0.27542945870271551</v>
      </c>
      <c r="H38" s="1"/>
      <c r="I38" s="8">
        <f t="shared" si="0"/>
        <v>234.41</v>
      </c>
      <c r="J38" s="52">
        <f t="shared" si="4"/>
        <v>-0.27217685596298946</v>
      </c>
      <c r="K38" s="48">
        <v>19395.900000000001</v>
      </c>
      <c r="L38" s="52">
        <f t="shared" si="5"/>
        <v>-3.1570485615282418E-2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184.03</v>
      </c>
      <c r="D39" s="47">
        <v>4.24E-2</v>
      </c>
      <c r="E39" s="52">
        <f t="shared" si="1"/>
        <v>-0.2149225715626466</v>
      </c>
      <c r="F39" s="53">
        <f t="shared" si="2"/>
        <v>3.2526027397260277E-3</v>
      </c>
      <c r="G39" s="51">
        <f t="shared" si="3"/>
        <v>-0.21817517430237263</v>
      </c>
      <c r="H39" s="1"/>
      <c r="I39" s="8">
        <f t="shared" si="0"/>
        <v>184.03</v>
      </c>
      <c r="J39" s="52">
        <f t="shared" si="4"/>
        <v>-0.2149225715626466</v>
      </c>
      <c r="K39" s="48">
        <v>19114.2</v>
      </c>
      <c r="L39" s="52">
        <f t="shared" si="5"/>
        <v>-1.4523687995916745E-2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181.11</v>
      </c>
      <c r="D40" s="47">
        <v>4.2299999999999997E-2</v>
      </c>
      <c r="E40" s="52">
        <f t="shared" si="1"/>
        <v>-1.5866978210074323E-2</v>
      </c>
      <c r="F40" s="53">
        <f t="shared" si="2"/>
        <v>3.2449315068493151E-3</v>
      </c>
      <c r="G40" s="51">
        <f t="shared" si="3"/>
        <v>-1.9111909716923638E-2</v>
      </c>
      <c r="H40" s="1"/>
      <c r="I40" s="8">
        <f t="shared" si="0"/>
        <v>181.11</v>
      </c>
      <c r="J40" s="52">
        <f t="shared" si="4"/>
        <v>-1.5866978210074323E-2</v>
      </c>
      <c r="K40" s="48">
        <v>19783.8</v>
      </c>
      <c r="L40" s="52">
        <f t="shared" si="5"/>
        <v>3.5031547226669124E-2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189.12</v>
      </c>
      <c r="D41" s="47">
        <v>4.2200000000000001E-2</v>
      </c>
      <c r="E41" s="52">
        <f t="shared" si="1"/>
        <v>4.4227265197945842E-2</v>
      </c>
      <c r="F41" s="53">
        <f t="shared" si="2"/>
        <v>3.2372602739726029E-3</v>
      </c>
      <c r="G41" s="51">
        <f t="shared" si="3"/>
        <v>4.0990004923973242E-2</v>
      </c>
      <c r="H41" s="1"/>
      <c r="I41" s="8">
        <f t="shared" si="0"/>
        <v>189.12</v>
      </c>
      <c r="J41" s="52">
        <f t="shared" si="4"/>
        <v>4.4227265197945842E-2</v>
      </c>
      <c r="K41" s="48">
        <v>19981.099999999999</v>
      </c>
      <c r="L41" s="52">
        <f t="shared" si="5"/>
        <v>9.9728060332191504E-3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-1.5808704665903294E-2</v>
      </c>
      <c r="H43" s="1"/>
      <c r="I43" s="1"/>
      <c r="J43" s="1"/>
      <c r="K43" s="48" t="s">
        <v>65</v>
      </c>
      <c r="L43" s="82">
        <f>COVAR(J20:J41,L20:L41)</f>
        <v>4.5999817332820778E-3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1.3119365558916414E-3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3.5062531893211539</v>
      </c>
    </row>
  </sheetData>
  <mergeCells count="1">
    <mergeCell ref="B4:D4"/>
  </mergeCells>
  <conditionalFormatting sqref="S10">
    <cfRule type="expression" dxfId="246" priority="19">
      <formula>IF($Q$10&gt;$Q$11,1,0)</formula>
    </cfRule>
  </conditionalFormatting>
  <conditionalFormatting sqref="Q10">
    <cfRule type="expression" dxfId="245" priority="10">
      <formula>IF($Q$10&lt;$Q$11,1,0)</formula>
    </cfRule>
    <cfRule type="expression" dxfId="244" priority="18">
      <formula>IF($Q$10&gt;$Q$11,1,0)</formula>
    </cfRule>
  </conditionalFormatting>
  <conditionalFormatting sqref="Q12">
    <cfRule type="expression" dxfId="243" priority="9">
      <formula>IF($Q$12&gt;$Q$13,1,0)</formula>
    </cfRule>
    <cfRule type="expression" dxfId="242" priority="17">
      <formula>IF($Q$12&lt;$Q$13,1,0)</formula>
    </cfRule>
  </conditionalFormatting>
  <conditionalFormatting sqref="Q14">
    <cfRule type="expression" dxfId="241" priority="16">
      <formula>IF($Q$15="Sell",1,0)</formula>
    </cfRule>
  </conditionalFormatting>
  <conditionalFormatting sqref="Q14:Q15">
    <cfRule type="expression" dxfId="240" priority="15">
      <formula>IF($Q$15="Buy",1,0)</formula>
    </cfRule>
  </conditionalFormatting>
  <conditionalFormatting sqref="Q16">
    <cfRule type="expression" dxfId="239" priority="13">
      <formula>IF($Q$16&lt;$Q$17,1,0)</formula>
    </cfRule>
    <cfRule type="expression" dxfId="238" priority="14">
      <formula>IF($Q$16&gt;$Q$17,1,0)</formula>
    </cfRule>
  </conditionalFormatting>
  <conditionalFormatting sqref="Q18">
    <cfRule type="expression" dxfId="237" priority="11">
      <formula>IF($Q$18&lt;$Q$19,1,0)</formula>
    </cfRule>
    <cfRule type="expression" dxfId="236" priority="12">
      <formula>IF($Q$18&gt;$Q$19,1,0)</formula>
    </cfRule>
  </conditionalFormatting>
  <conditionalFormatting sqref="Q23">
    <cfRule type="expression" dxfId="235" priority="7">
      <formula>IF($Q$23&lt;1.1,1,0)</formula>
    </cfRule>
    <cfRule type="expression" dxfId="234" priority="8">
      <formula>IF($Q$23&gt;1.1,1,0)</formula>
    </cfRule>
  </conditionalFormatting>
  <conditionalFormatting sqref="Q26">
    <cfRule type="expression" dxfId="233" priority="5">
      <formula>IF($Q$26&lt;$Q$19,1,0)</formula>
    </cfRule>
    <cfRule type="expression" dxfId="232" priority="6">
      <formula>IF($Q$26&gt;$Q$19,1,0)</formula>
    </cfRule>
  </conditionalFormatting>
  <conditionalFormatting sqref="Q30">
    <cfRule type="expression" dxfId="231" priority="3">
      <formula>IF($Q$28&lt;$Q$29,1,0)</formula>
    </cfRule>
    <cfRule type="expression" dxfId="230" priority="4">
      <formula>IF($Q$28&gt;$Q$29,1,0)</formula>
    </cfRule>
  </conditionalFormatting>
  <conditionalFormatting sqref="R31">
    <cfRule type="expression" dxfId="229" priority="1">
      <formula>IF($R$31&lt;0.485,1,0)</formula>
    </cfRule>
    <cfRule type="expression" dxfId="228" priority="2">
      <formula>IF($R$31&gt;0.49,1,0)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5F470-48F0-4FEA-B85F-CEDAAD5BAD51}">
  <sheetPr codeName="Sheet21"/>
  <dimension ref="B2:R45"/>
  <sheetViews>
    <sheetView zoomScale="85" zoomScaleNormal="85" workbookViewId="0">
      <selection activeCell="Q36" sqref="Q36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179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180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CRWD</v>
      </c>
      <c r="R5" s="8"/>
    </row>
    <row r="6" spans="2:18" x14ac:dyDescent="0.2">
      <c r="B6" s="1" t="s">
        <v>4</v>
      </c>
      <c r="C6" s="1" t="s">
        <v>62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NASDAQ</v>
      </c>
      <c r="R6" s="8"/>
    </row>
    <row r="7" spans="2:18" x14ac:dyDescent="0.2">
      <c r="B7" s="1" t="s">
        <v>7</v>
      </c>
      <c r="C7" s="13">
        <v>45822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480.62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-681.74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-0.53</v>
      </c>
      <c r="R11" s="31">
        <f>IF(Q10&gt;Q11,0,1)</f>
        <v>1</v>
      </c>
    </row>
    <row r="12" spans="2:18" x14ac:dyDescent="0.2">
      <c r="B12" s="1" t="s">
        <v>26</v>
      </c>
      <c r="C12" s="32">
        <f>Q23</f>
        <v>1.1599999999999999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0.73</v>
      </c>
      <c r="R12" s="25"/>
    </row>
    <row r="13" spans="2:18" x14ac:dyDescent="0.2">
      <c r="B13" s="1" t="s">
        <v>30</v>
      </c>
      <c r="C13" s="26">
        <f>G43</f>
        <v>5.7932961522318478E-2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0.66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0.10790223536588943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2.8</v>
      </c>
      <c r="R14" s="31"/>
    </row>
    <row r="15" spans="2:18" ht="19" x14ac:dyDescent="0.25">
      <c r="B15" s="1" t="s">
        <v>36</v>
      </c>
      <c r="C15" s="39">
        <f>C10*(1+C14)</f>
        <v>532.47997236155379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118</v>
      </c>
      <c r="R15" s="35">
        <f>IF(Q15="Sell",0,1)</f>
        <v>1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90.7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35.9</v>
      </c>
      <c r="R17" s="42">
        <f>IF(Q16&lt;Q17,0,1)</f>
        <v>1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CrowdStrike Holdings Inc.</v>
      </c>
      <c r="J18" s="34" t="s">
        <v>45</v>
      </c>
      <c r="K18" s="34" t="str">
        <f>_xlfn.CONCAT("Precio ",C6)</f>
        <v>Precio NASDAQ</v>
      </c>
      <c r="L18" s="34" t="s">
        <v>46</v>
      </c>
      <c r="M18" s="1"/>
      <c r="N18" s="21"/>
      <c r="O18" s="22"/>
      <c r="P18" s="23" t="s">
        <v>47</v>
      </c>
      <c r="Q18" s="137">
        <f>C14</f>
        <v>0.10790223536588943</v>
      </c>
      <c r="R18" s="25"/>
    </row>
    <row r="19" spans="2:18" x14ac:dyDescent="0.2">
      <c r="B19" s="46">
        <v>45108</v>
      </c>
      <c r="C19">
        <v>163.03</v>
      </c>
      <c r="D19" s="47">
        <v>5.2699999999999997E-2</v>
      </c>
      <c r="E19" s="1"/>
      <c r="F19" s="1"/>
      <c r="G19" s="1"/>
      <c r="H19" s="1"/>
      <c r="I19" s="8">
        <f>C19</f>
        <v>163.03</v>
      </c>
      <c r="J19" s="8"/>
      <c r="K19" s="48">
        <v>15501.07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167.38</v>
      </c>
      <c r="D20" s="47">
        <v>5.28E-2</v>
      </c>
      <c r="E20" s="52">
        <f>C20/C19-1</f>
        <v>2.6682205729006814E-2</v>
      </c>
      <c r="F20" s="53">
        <f>D20/365*28</f>
        <v>4.0504109589041097E-3</v>
      </c>
      <c r="G20" s="51">
        <f>E20-F20</f>
        <v>2.2631794770102704E-2</v>
      </c>
      <c r="H20" s="1"/>
      <c r="I20" s="8">
        <f t="shared" ref="I20:I41" si="0">C20</f>
        <v>167.38</v>
      </c>
      <c r="J20" s="52">
        <f>I20/I19-1</f>
        <v>2.6682205729006814E-2</v>
      </c>
      <c r="K20" s="48">
        <v>14715.24</v>
      </c>
      <c r="L20" s="52">
        <f>K20/K19-1</f>
        <v>-5.0695210072595032E-2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176.77</v>
      </c>
      <c r="D21" s="47">
        <v>5.2900000000000003E-2</v>
      </c>
      <c r="E21" s="52">
        <f t="shared" ref="E21:E41" si="1">C21/C20-1</f>
        <v>5.6099892460270029E-2</v>
      </c>
      <c r="F21" s="53">
        <f t="shared" ref="F21:F41" si="2">D21/365*28</f>
        <v>4.0580821917808214E-3</v>
      </c>
      <c r="G21" s="51">
        <f t="shared" ref="G21:G41" si="3">E21-F21</f>
        <v>5.2041810268489211E-2</v>
      </c>
      <c r="H21" s="1"/>
      <c r="I21" s="8">
        <f t="shared" si="0"/>
        <v>176.77</v>
      </c>
      <c r="J21" s="52">
        <f t="shared" ref="J21:J41" si="4">I21/I20-1</f>
        <v>5.6099892460270029E-2</v>
      </c>
      <c r="K21" s="48">
        <v>14409.78</v>
      </c>
      <c r="L21" s="52">
        <f t="shared" ref="L21:L41" si="5">K21/K20-1</f>
        <v>-2.0758071224118657E-2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236.99</v>
      </c>
      <c r="D22" s="47">
        <v>5.2900000000000003E-2</v>
      </c>
      <c r="E22" s="52">
        <f t="shared" si="1"/>
        <v>0.34066866549753905</v>
      </c>
      <c r="F22" s="53">
        <f t="shared" si="2"/>
        <v>4.0580821917808214E-3</v>
      </c>
      <c r="G22" s="51">
        <f t="shared" si="3"/>
        <v>0.33661058330575822</v>
      </c>
      <c r="H22" s="1"/>
      <c r="I22" s="8">
        <f t="shared" si="0"/>
        <v>236.99</v>
      </c>
      <c r="J22" s="52">
        <f t="shared" si="4"/>
        <v>0.34066866549753905</v>
      </c>
      <c r="K22" s="48">
        <v>15947.87</v>
      </c>
      <c r="L22" s="52">
        <f t="shared" si="5"/>
        <v>0.10673931177297646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C23">
        <v>255.32</v>
      </c>
      <c r="D23" s="47">
        <v>5.2900000000000003E-2</v>
      </c>
      <c r="E23" s="52">
        <f t="shared" si="1"/>
        <v>7.7345035655512762E-2</v>
      </c>
      <c r="F23" s="53">
        <f t="shared" si="2"/>
        <v>4.0580821917808214E-3</v>
      </c>
      <c r="G23" s="51">
        <f t="shared" si="3"/>
        <v>7.3286953463731944E-2</v>
      </c>
      <c r="H23" s="1"/>
      <c r="I23" s="8">
        <f t="shared" si="0"/>
        <v>255.32</v>
      </c>
      <c r="J23" s="52">
        <f t="shared" si="4"/>
        <v>7.7345035655512762E-2</v>
      </c>
      <c r="K23" s="48">
        <v>16825.93</v>
      </c>
      <c r="L23" s="52">
        <f t="shared" si="5"/>
        <v>5.5058136290300874E-2</v>
      </c>
      <c r="M23" s="1"/>
      <c r="N23" s="57" t="s">
        <v>51</v>
      </c>
      <c r="O23" s="58" t="s">
        <v>52</v>
      </c>
      <c r="P23" s="59" t="s">
        <v>44</v>
      </c>
      <c r="Q23" s="128">
        <v>1.1599999999999999</v>
      </c>
      <c r="R23" s="61">
        <f>IF(Q23&gt;1.1,0,1)</f>
        <v>0</v>
      </c>
    </row>
    <row r="24" spans="2:18" x14ac:dyDescent="0.2">
      <c r="B24" s="46">
        <v>45261</v>
      </c>
      <c r="C24">
        <v>292.5</v>
      </c>
      <c r="D24" s="47">
        <v>5.33E-2</v>
      </c>
      <c r="E24" s="52">
        <f t="shared" si="1"/>
        <v>0.14562118126272905</v>
      </c>
      <c r="F24" s="53">
        <f t="shared" si="2"/>
        <v>4.0887671232876718E-3</v>
      </c>
      <c r="G24" s="51">
        <f t="shared" si="3"/>
        <v>0.14153241413944137</v>
      </c>
      <c r="H24" s="1"/>
      <c r="I24" s="8">
        <f t="shared" si="0"/>
        <v>292.5</v>
      </c>
      <c r="J24" s="52">
        <f t="shared" si="4"/>
        <v>0.14562118126272905</v>
      </c>
      <c r="K24" s="48">
        <v>17137.240000000002</v>
      </c>
      <c r="L24" s="52">
        <f t="shared" si="5"/>
        <v>1.8501800494831633E-2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324.14999999999998</v>
      </c>
      <c r="D25" s="47">
        <v>5.2699999999999997E-2</v>
      </c>
      <c r="E25" s="52">
        <f t="shared" si="1"/>
        <v>0.10820512820512818</v>
      </c>
      <c r="F25" s="53">
        <f t="shared" si="2"/>
        <v>4.0427397260273962E-3</v>
      </c>
      <c r="G25" s="51">
        <f t="shared" si="3"/>
        <v>0.10416238847910078</v>
      </c>
      <c r="H25" s="1"/>
      <c r="I25" s="8">
        <f t="shared" si="0"/>
        <v>324.14999999999998</v>
      </c>
      <c r="J25" s="52">
        <f t="shared" si="4"/>
        <v>0.10820512820512818</v>
      </c>
      <c r="K25" s="48">
        <v>18043.849999999999</v>
      </c>
      <c r="L25" s="52">
        <f t="shared" si="5"/>
        <v>5.2902917856084031E-2</v>
      </c>
      <c r="M25" s="1"/>
      <c r="N25" s="30"/>
      <c r="O25" s="64"/>
      <c r="P25" s="30" t="s">
        <v>23</v>
      </c>
      <c r="Q25" s="84">
        <f>Q10</f>
        <v>-681.74</v>
      </c>
      <c r="R25" s="31"/>
    </row>
    <row r="26" spans="2:18" x14ac:dyDescent="0.2">
      <c r="B26" s="46">
        <v>45323</v>
      </c>
      <c r="C26">
        <v>320.58999999999997</v>
      </c>
      <c r="D26" s="47">
        <v>5.2999999999999999E-2</v>
      </c>
      <c r="E26" s="52">
        <f t="shared" si="1"/>
        <v>-1.0982569797933106E-2</v>
      </c>
      <c r="F26" s="53">
        <f t="shared" si="2"/>
        <v>4.0657534246575349E-3</v>
      </c>
      <c r="G26" s="51">
        <f t="shared" si="3"/>
        <v>-1.5048323222590641E-2</v>
      </c>
      <c r="H26" s="1"/>
      <c r="I26" s="8">
        <f t="shared" si="0"/>
        <v>320.58999999999997</v>
      </c>
      <c r="J26" s="52">
        <f t="shared" si="4"/>
        <v>-1.0982569797933106E-2</v>
      </c>
      <c r="K26" s="48">
        <v>18254.689999999999</v>
      </c>
      <c r="L26" s="52">
        <f t="shared" si="5"/>
        <v>1.1684867697304036E-2</v>
      </c>
      <c r="M26" s="1"/>
      <c r="N26" s="49" t="s">
        <v>54</v>
      </c>
      <c r="O26" s="64"/>
      <c r="P26" s="30" t="s">
        <v>55</v>
      </c>
      <c r="Q26" s="132">
        <f>1/Q25</f>
        <v>-1.4668348637310411E-3</v>
      </c>
      <c r="R26" s="31">
        <f>IF(Q26&lt;Q19,0,1)</f>
        <v>0</v>
      </c>
    </row>
    <row r="27" spans="2:18" x14ac:dyDescent="0.2">
      <c r="B27" s="46">
        <v>45352</v>
      </c>
      <c r="C27">
        <v>292.54000000000002</v>
      </c>
      <c r="D27" s="47">
        <v>5.2900000000000003E-2</v>
      </c>
      <c r="E27" s="52">
        <f t="shared" si="1"/>
        <v>-8.7494931220561956E-2</v>
      </c>
      <c r="F27" s="53">
        <f t="shared" si="2"/>
        <v>4.0580821917808214E-3</v>
      </c>
      <c r="G27" s="51">
        <f t="shared" si="3"/>
        <v>-9.1553013412342774E-2</v>
      </c>
      <c r="H27" s="1"/>
      <c r="I27" s="8">
        <f t="shared" si="0"/>
        <v>292.54000000000002</v>
      </c>
      <c r="J27" s="52">
        <f t="shared" si="4"/>
        <v>-8.7494931220561956E-2</v>
      </c>
      <c r="K27" s="48">
        <v>17440.689999999999</v>
      </c>
      <c r="L27" s="52">
        <f t="shared" si="5"/>
        <v>-4.4591280377809794E-2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313.67</v>
      </c>
      <c r="D28" s="47">
        <v>5.28E-2</v>
      </c>
      <c r="E28" s="52">
        <f t="shared" si="1"/>
        <v>7.2229438709236371E-2</v>
      </c>
      <c r="F28" s="53">
        <f t="shared" si="2"/>
        <v>4.0504109589041097E-3</v>
      </c>
      <c r="G28" s="51">
        <f t="shared" si="3"/>
        <v>6.8179027750332258E-2</v>
      </c>
      <c r="H28" s="1"/>
      <c r="I28" s="8">
        <f t="shared" si="0"/>
        <v>313.67</v>
      </c>
      <c r="J28" s="52">
        <f t="shared" si="4"/>
        <v>7.2229438709236371E-2</v>
      </c>
      <c r="K28" s="48">
        <v>18536.650000000001</v>
      </c>
      <c r="L28" s="52">
        <f t="shared" si="5"/>
        <v>6.2839256933068688E-2</v>
      </c>
      <c r="M28" s="1"/>
      <c r="N28" s="30"/>
      <c r="O28" s="1"/>
      <c r="P28" s="30" t="s">
        <v>57</v>
      </c>
      <c r="Q28" s="51">
        <f>Q18</f>
        <v>0.10790223536588943</v>
      </c>
      <c r="R28" s="31"/>
    </row>
    <row r="29" spans="2:18" x14ac:dyDescent="0.2">
      <c r="B29" s="46">
        <v>45413</v>
      </c>
      <c r="C29">
        <v>383.19</v>
      </c>
      <c r="D29" s="47">
        <v>5.2699999999999997E-2</v>
      </c>
      <c r="E29" s="52">
        <f t="shared" si="1"/>
        <v>0.22163420154939906</v>
      </c>
      <c r="F29" s="53">
        <f t="shared" si="2"/>
        <v>4.0427397260273962E-3</v>
      </c>
      <c r="G29" s="51">
        <f t="shared" si="3"/>
        <v>0.21759146182337166</v>
      </c>
      <c r="H29" s="1"/>
      <c r="I29" s="8">
        <f t="shared" si="0"/>
        <v>383.19</v>
      </c>
      <c r="J29" s="52">
        <f t="shared" si="4"/>
        <v>0.22163420154939906</v>
      </c>
      <c r="K29" s="48">
        <v>19682.87</v>
      </c>
      <c r="L29" s="52">
        <f t="shared" si="5"/>
        <v>6.1835337021522108E-2</v>
      </c>
      <c r="M29" s="1"/>
      <c r="N29" s="49" t="s">
        <v>117</v>
      </c>
      <c r="O29" s="1"/>
      <c r="P29" s="30" t="s">
        <v>58</v>
      </c>
      <c r="Q29" s="67">
        <v>9.1800000000000007E-2</v>
      </c>
      <c r="R29" s="31"/>
    </row>
    <row r="30" spans="2:18" ht="17" thickBot="1" x14ac:dyDescent="0.25">
      <c r="B30" s="46">
        <v>45444</v>
      </c>
      <c r="C30">
        <v>231.96</v>
      </c>
      <c r="D30" s="47">
        <v>5.2699999999999997E-2</v>
      </c>
      <c r="E30" s="52">
        <f t="shared" si="1"/>
        <v>-0.39466061222892035</v>
      </c>
      <c r="F30" s="53">
        <f t="shared" si="2"/>
        <v>4.0427397260273962E-3</v>
      </c>
      <c r="G30" s="51">
        <f t="shared" si="3"/>
        <v>-0.39870335195494777</v>
      </c>
      <c r="I30" s="8">
        <f t="shared" si="0"/>
        <v>231.96</v>
      </c>
      <c r="J30" s="52">
        <f t="shared" si="4"/>
        <v>-0.39466061222892035</v>
      </c>
      <c r="K30" s="48">
        <v>19362.43</v>
      </c>
      <c r="L30" s="52">
        <f t="shared" si="5"/>
        <v>-1.6280146137224838E-2</v>
      </c>
      <c r="M30" s="1"/>
      <c r="N30" s="1"/>
      <c r="O30" s="1"/>
      <c r="P30" s="33"/>
      <c r="Q30" s="68">
        <f>Q28-Q29</f>
        <v>1.6102235365889422E-2</v>
      </c>
      <c r="R30" s="31">
        <f>IF(Q28&lt;Q29,0,1)</f>
        <v>1</v>
      </c>
    </row>
    <row r="31" spans="2:18" ht="17" thickBot="1" x14ac:dyDescent="0.25">
      <c r="B31" s="46">
        <v>45474</v>
      </c>
      <c r="C31">
        <v>277.27999999999997</v>
      </c>
      <c r="D31" s="47">
        <v>5.28E-2</v>
      </c>
      <c r="E31" s="52">
        <f t="shared" si="1"/>
        <v>0.19537851353681646</v>
      </c>
      <c r="F31" s="53">
        <f t="shared" si="2"/>
        <v>4.0504109589041097E-3</v>
      </c>
      <c r="G31" s="51">
        <f t="shared" si="3"/>
        <v>0.19132810257791236</v>
      </c>
      <c r="H31" s="1"/>
      <c r="I31" s="8">
        <f t="shared" si="0"/>
        <v>277.27999999999997</v>
      </c>
      <c r="J31" s="52">
        <f t="shared" si="4"/>
        <v>0.19537851353681646</v>
      </c>
      <c r="K31" s="48">
        <v>19574.64</v>
      </c>
      <c r="L31" s="52">
        <f t="shared" si="5"/>
        <v>1.0959884683895416E-2</v>
      </c>
      <c r="M31" s="1"/>
      <c r="N31" s="1"/>
      <c r="O31" s="1"/>
      <c r="P31" s="30"/>
      <c r="Q31" s="69"/>
      <c r="R31" s="133">
        <f>SUM(R10:R30)/8</f>
        <v>0.75</v>
      </c>
    </row>
    <row r="32" spans="2:18" x14ac:dyDescent="0.2">
      <c r="B32" s="46">
        <v>45505</v>
      </c>
      <c r="C32">
        <v>280.47000000000003</v>
      </c>
      <c r="D32" s="47">
        <v>5.1799999999999999E-2</v>
      </c>
      <c r="E32" s="52">
        <f t="shared" si="1"/>
        <v>1.1504616272360213E-2</v>
      </c>
      <c r="F32" s="53">
        <f t="shared" si="2"/>
        <v>3.9736986301369863E-3</v>
      </c>
      <c r="G32" s="51">
        <f t="shared" si="3"/>
        <v>7.5309176422232267E-3</v>
      </c>
      <c r="H32" s="1"/>
      <c r="I32" s="8">
        <f t="shared" si="0"/>
        <v>280.47000000000003</v>
      </c>
      <c r="J32" s="52">
        <f t="shared" si="4"/>
        <v>1.1504616272360213E-2</v>
      </c>
      <c r="K32" s="48">
        <v>20060.689999999999</v>
      </c>
      <c r="L32" s="52">
        <f t="shared" si="5"/>
        <v>2.4830597139972932E-2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296.87</v>
      </c>
      <c r="D33" s="47">
        <v>4.7399999999999998E-2</v>
      </c>
      <c r="E33" s="52">
        <f t="shared" si="1"/>
        <v>5.8473276999322588E-2</v>
      </c>
      <c r="F33" s="53">
        <f t="shared" si="2"/>
        <v>3.6361643835616433E-3</v>
      </c>
      <c r="G33" s="51">
        <f t="shared" si="3"/>
        <v>5.4837112615760943E-2</v>
      </c>
      <c r="H33" s="1"/>
      <c r="I33" s="8">
        <f t="shared" si="0"/>
        <v>296.87</v>
      </c>
      <c r="J33" s="52">
        <f t="shared" si="4"/>
        <v>5.8473276999322588E-2</v>
      </c>
      <c r="K33" s="48">
        <v>19890.41</v>
      </c>
      <c r="L33" s="52">
        <f t="shared" si="5"/>
        <v>-8.4882424283511115E-3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345.97</v>
      </c>
      <c r="D34" s="47">
        <v>4.58E-2</v>
      </c>
      <c r="E34" s="52">
        <f t="shared" si="1"/>
        <v>0.16539225923805034</v>
      </c>
      <c r="F34" s="53">
        <f t="shared" si="2"/>
        <v>3.5134246575342465E-3</v>
      </c>
      <c r="G34" s="51">
        <f t="shared" si="3"/>
        <v>0.16187883458051611</v>
      </c>
      <c r="H34" s="1"/>
      <c r="I34" s="8">
        <f t="shared" si="0"/>
        <v>345.97</v>
      </c>
      <c r="J34" s="52">
        <f t="shared" si="4"/>
        <v>0.16539225923805034</v>
      </c>
      <c r="K34" s="48">
        <v>20930.37</v>
      </c>
      <c r="L34" s="52">
        <f t="shared" si="5"/>
        <v>5.2284492878728939E-2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342.16</v>
      </c>
      <c r="D35" s="47">
        <v>4.5499999999999999E-2</v>
      </c>
      <c r="E35" s="52">
        <f t="shared" si="1"/>
        <v>-1.101251553602911E-2</v>
      </c>
      <c r="F35" s="53">
        <f t="shared" si="2"/>
        <v>3.4904109589041091E-3</v>
      </c>
      <c r="G35" s="51">
        <f t="shared" si="3"/>
        <v>-1.4502926494933219E-2</v>
      </c>
      <c r="H35" s="1"/>
      <c r="I35" s="8">
        <f t="shared" si="0"/>
        <v>342.16</v>
      </c>
      <c r="J35" s="52">
        <f t="shared" si="4"/>
        <v>-1.101251553602911E-2</v>
      </c>
      <c r="K35" s="48">
        <v>21012.17</v>
      </c>
      <c r="L35" s="52">
        <f t="shared" si="5"/>
        <v>3.9081965583980249E-3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398.07</v>
      </c>
      <c r="D36" s="47">
        <v>4.2200000000000001E-2</v>
      </c>
      <c r="E36" s="52">
        <f t="shared" si="1"/>
        <v>0.16340308627542655</v>
      </c>
      <c r="F36" s="53">
        <f t="shared" si="2"/>
        <v>3.2372602739726029E-3</v>
      </c>
      <c r="G36" s="51">
        <f t="shared" si="3"/>
        <v>0.16016582600145393</v>
      </c>
      <c r="H36" s="1"/>
      <c r="I36" s="8">
        <f t="shared" si="0"/>
        <v>398.07</v>
      </c>
      <c r="J36" s="52">
        <f t="shared" si="4"/>
        <v>0.16340308627542655</v>
      </c>
      <c r="K36" s="48">
        <v>21478.05</v>
      </c>
      <c r="L36" s="52">
        <f t="shared" si="5"/>
        <v>2.2171912753418566E-2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389.66</v>
      </c>
      <c r="D37" s="47">
        <v>4.2599999999999999E-2</v>
      </c>
      <c r="E37" s="52">
        <f t="shared" si="1"/>
        <v>-2.1126937473308627E-2</v>
      </c>
      <c r="F37" s="53">
        <f t="shared" si="2"/>
        <v>3.267945205479452E-3</v>
      </c>
      <c r="G37" s="51">
        <f t="shared" si="3"/>
        <v>-2.4394882678788078E-2</v>
      </c>
      <c r="H37" s="1"/>
      <c r="I37" s="8">
        <f t="shared" si="0"/>
        <v>389.66</v>
      </c>
      <c r="J37" s="52">
        <f t="shared" si="4"/>
        <v>-2.1126937473308627E-2</v>
      </c>
      <c r="K37" s="48">
        <v>20884.41</v>
      </c>
      <c r="L37" s="52">
        <f t="shared" si="5"/>
        <v>-2.7639380670032909E-2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352.58</v>
      </c>
      <c r="D38" s="47">
        <v>4.24E-2</v>
      </c>
      <c r="E38" s="52">
        <f t="shared" si="1"/>
        <v>-9.51598829749013E-2</v>
      </c>
      <c r="F38" s="53">
        <f t="shared" si="2"/>
        <v>3.2526027397260277E-3</v>
      </c>
      <c r="G38" s="51">
        <f t="shared" si="3"/>
        <v>-9.8412485714627324E-2</v>
      </c>
      <c r="H38" s="1"/>
      <c r="I38" s="8">
        <f t="shared" si="0"/>
        <v>352.58</v>
      </c>
      <c r="J38" s="52">
        <f t="shared" si="4"/>
        <v>-9.51598829749013E-2</v>
      </c>
      <c r="K38" s="48">
        <v>19278.45</v>
      </c>
      <c r="L38" s="52">
        <f t="shared" si="5"/>
        <v>-7.6897551810177989E-2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428.87</v>
      </c>
      <c r="D39" s="47">
        <v>4.24E-2</v>
      </c>
      <c r="E39" s="52">
        <f t="shared" si="1"/>
        <v>0.21637642520846345</v>
      </c>
      <c r="F39" s="53">
        <f t="shared" si="2"/>
        <v>3.2526027397260277E-3</v>
      </c>
      <c r="G39" s="51">
        <f t="shared" si="3"/>
        <v>0.21312382246873743</v>
      </c>
      <c r="H39" s="1"/>
      <c r="I39" s="8">
        <f t="shared" si="0"/>
        <v>428.87</v>
      </c>
      <c r="J39" s="52">
        <f t="shared" si="4"/>
        <v>0.21637642520846345</v>
      </c>
      <c r="K39" s="48">
        <v>19571.02</v>
      </c>
      <c r="L39" s="52">
        <f t="shared" si="5"/>
        <v>1.51760125943734E-2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471.37</v>
      </c>
      <c r="D40" s="47">
        <v>4.2299999999999997E-2</v>
      </c>
      <c r="E40" s="52">
        <f t="shared" si="1"/>
        <v>9.9097628652039083E-2</v>
      </c>
      <c r="F40" s="53">
        <f t="shared" si="2"/>
        <v>3.2449315068493151E-3</v>
      </c>
      <c r="G40" s="51">
        <f t="shared" si="3"/>
        <v>9.5852697145189764E-2</v>
      </c>
      <c r="H40" s="1"/>
      <c r="I40" s="8">
        <f t="shared" si="0"/>
        <v>471.37</v>
      </c>
      <c r="J40" s="52">
        <f t="shared" si="4"/>
        <v>9.9097628652039083E-2</v>
      </c>
      <c r="K40" s="48">
        <v>21340.99</v>
      </c>
      <c r="L40" s="52">
        <f t="shared" si="5"/>
        <v>9.04383113399303E-2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480.62</v>
      </c>
      <c r="D41" s="47">
        <v>4.2200000000000001E-2</v>
      </c>
      <c r="E41" s="52">
        <f t="shared" si="1"/>
        <v>1.9623650211086918E-2</v>
      </c>
      <c r="F41" s="53">
        <f t="shared" si="2"/>
        <v>3.2372602739726029E-3</v>
      </c>
      <c r="G41" s="51">
        <f t="shared" si="3"/>
        <v>1.6386389937114314E-2</v>
      </c>
      <c r="H41" s="1"/>
      <c r="I41" s="8">
        <f t="shared" si="0"/>
        <v>480.62</v>
      </c>
      <c r="J41" s="52">
        <f t="shared" si="4"/>
        <v>1.9623650211086918E-2</v>
      </c>
      <c r="K41" s="48">
        <v>21913.32</v>
      </c>
      <c r="L41" s="52">
        <f t="shared" si="5"/>
        <v>2.6818343478910656E-2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5.7932961522318478E-2</v>
      </c>
      <c r="H43" s="1"/>
      <c r="I43" s="1"/>
      <c r="J43" s="1"/>
      <c r="K43" s="48" t="s">
        <v>65</v>
      </c>
      <c r="L43" s="82">
        <f>COVAR(J20:J41,L20:L41)</f>
        <v>3.9508989923583348E-3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2.111160292142152E-3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1.8714348725976826</v>
      </c>
    </row>
  </sheetData>
  <mergeCells count="1">
    <mergeCell ref="B4:D4"/>
  </mergeCells>
  <conditionalFormatting sqref="S10">
    <cfRule type="expression" dxfId="227" priority="19">
      <formula>IF($Q$10&gt;$Q$11,1,0)</formula>
    </cfRule>
  </conditionalFormatting>
  <conditionalFormatting sqref="Q10">
    <cfRule type="expression" dxfId="226" priority="10">
      <formula>IF($Q$10&lt;$Q$11,1,0)</formula>
    </cfRule>
    <cfRule type="expression" dxfId="225" priority="18">
      <formula>IF($Q$10&gt;$Q$11,1,0)</formula>
    </cfRule>
  </conditionalFormatting>
  <conditionalFormatting sqref="Q12">
    <cfRule type="expression" dxfId="224" priority="9">
      <formula>IF($Q$12&gt;$Q$13,1,0)</formula>
    </cfRule>
    <cfRule type="expression" dxfId="223" priority="17">
      <formula>IF($Q$12&lt;$Q$13,1,0)</formula>
    </cfRule>
  </conditionalFormatting>
  <conditionalFormatting sqref="Q14">
    <cfRule type="expression" dxfId="222" priority="16">
      <formula>IF($Q$15="Sell",1,0)</formula>
    </cfRule>
  </conditionalFormatting>
  <conditionalFormatting sqref="Q14:Q15">
    <cfRule type="expression" dxfId="221" priority="15">
      <formula>IF($Q$15="Buy",1,0)</formula>
    </cfRule>
  </conditionalFormatting>
  <conditionalFormatting sqref="Q16">
    <cfRule type="expression" dxfId="220" priority="13">
      <formula>IF($Q$16&lt;$Q$17,1,0)</formula>
    </cfRule>
    <cfRule type="expression" dxfId="219" priority="14">
      <formula>IF($Q$16&gt;$Q$17,1,0)</formula>
    </cfRule>
  </conditionalFormatting>
  <conditionalFormatting sqref="Q18">
    <cfRule type="expression" dxfId="218" priority="11">
      <formula>IF($Q$18&lt;$Q$19,1,0)</formula>
    </cfRule>
    <cfRule type="expression" dxfId="217" priority="12">
      <formula>IF($Q$18&gt;$Q$19,1,0)</formula>
    </cfRule>
  </conditionalFormatting>
  <conditionalFormatting sqref="Q23">
    <cfRule type="expression" dxfId="216" priority="7">
      <formula>IF($Q$23&lt;1.1,1,0)</formula>
    </cfRule>
    <cfRule type="expression" dxfId="215" priority="8">
      <formula>IF($Q$23&gt;1.1,1,0)</formula>
    </cfRule>
  </conditionalFormatting>
  <conditionalFormatting sqref="Q26">
    <cfRule type="expression" dxfId="214" priority="5">
      <formula>IF($Q$26&lt;$Q$19,1,0)</formula>
    </cfRule>
    <cfRule type="expression" dxfId="213" priority="6">
      <formula>IF($Q$26&gt;$Q$19,1,0)</formula>
    </cfRule>
  </conditionalFormatting>
  <conditionalFormatting sqref="Q30">
    <cfRule type="expression" dxfId="212" priority="3">
      <formula>IF($Q$28&lt;$Q$29,1,0)</formula>
    </cfRule>
    <cfRule type="expression" dxfId="211" priority="4">
      <formula>IF($Q$28&gt;$Q$29,1,0)</formula>
    </cfRule>
  </conditionalFormatting>
  <conditionalFormatting sqref="R31">
    <cfRule type="expression" dxfId="210" priority="1">
      <formula>IF($R$31&lt;0.485,1,0)</formula>
    </cfRule>
    <cfRule type="expression" dxfId="209" priority="2">
      <formula>IF($R$31&gt;0.49,1,0)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B8CB2-8119-4B6B-8C9D-5E72F7D8B951}">
  <sheetPr codeName="Sheet20"/>
  <dimension ref="B2:R63"/>
  <sheetViews>
    <sheetView zoomScale="106" zoomScaleNormal="85" workbookViewId="0">
      <selection activeCell="B48" sqref="B48:N66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5" max="5" width="12.6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176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177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HIMS</v>
      </c>
      <c r="R5" s="8"/>
    </row>
    <row r="6" spans="2:18" x14ac:dyDescent="0.2">
      <c r="B6" s="1" t="s">
        <v>4</v>
      </c>
      <c r="C6" s="1" t="s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NYSE</v>
      </c>
      <c r="R6" s="8"/>
    </row>
    <row r="7" spans="2:18" x14ac:dyDescent="0.2">
      <c r="B7" s="1" t="s">
        <v>7</v>
      </c>
      <c r="C7" s="13">
        <v>45822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55.48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74.55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22.14</v>
      </c>
      <c r="R11" s="31">
        <f>IF(Q10&gt;Q11,0,1)</f>
        <v>0</v>
      </c>
    </row>
    <row r="12" spans="2:18" x14ac:dyDescent="0.2">
      <c r="B12" s="1" t="s">
        <v>26</v>
      </c>
      <c r="C12" s="32">
        <f>Q23</f>
        <v>2.1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0.2</v>
      </c>
      <c r="R12" s="25"/>
    </row>
    <row r="13" spans="2:18" x14ac:dyDescent="0.2">
      <c r="B13" s="1" t="s">
        <v>30</v>
      </c>
      <c r="C13" s="26">
        <f>G43</f>
        <v>0.13904793191818429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0.23</v>
      </c>
      <c r="R13" s="35">
        <f>IF(Q12&lt;Q13,0,1)</f>
        <v>0</v>
      </c>
    </row>
    <row r="14" spans="2:18" x14ac:dyDescent="0.2">
      <c r="B14" s="1" t="s">
        <v>32</v>
      </c>
      <c r="C14" s="36">
        <f>C11+(C12*C13)</f>
        <v>0.33270065702818702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0.06</v>
      </c>
      <c r="R14" s="31"/>
    </row>
    <row r="15" spans="2:18" ht="19" x14ac:dyDescent="0.25">
      <c r="B15" s="1" t="s">
        <v>36</v>
      </c>
      <c r="C15" s="39">
        <f>C10*(1+C14)</f>
        <v>73.93823245192381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f>IF(Q15="Sell",0,1)</f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51.88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35.85</v>
      </c>
      <c r="R17" s="42">
        <f>IF(Q16&lt;Q17,0,1)</f>
        <v>1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Hims Hers Health Inc</v>
      </c>
      <c r="J18" s="34" t="s">
        <v>45</v>
      </c>
      <c r="K18" s="34" t="str">
        <f>_xlfn.CONCAT("Precio ",C6)</f>
        <v>Precio NYSE</v>
      </c>
      <c r="L18" s="34" t="s">
        <v>46</v>
      </c>
      <c r="M18" s="1"/>
      <c r="N18" s="21"/>
      <c r="O18" s="22"/>
      <c r="P18" s="23" t="s">
        <v>47</v>
      </c>
      <c r="Q18" s="137">
        <f>C14</f>
        <v>0.33270065702818702</v>
      </c>
      <c r="R18" s="25"/>
    </row>
    <row r="19" spans="2:18" x14ac:dyDescent="0.2">
      <c r="B19" s="46">
        <v>45108</v>
      </c>
      <c r="C19">
        <v>6.71</v>
      </c>
      <c r="D19" s="47">
        <v>5.2699999999999997E-2</v>
      </c>
      <c r="E19" s="1"/>
      <c r="F19" s="1"/>
      <c r="G19" s="1"/>
      <c r="H19" s="1"/>
      <c r="I19" s="8">
        <f>C19</f>
        <v>6.71</v>
      </c>
      <c r="J19" s="8"/>
      <c r="K19" s="48">
        <v>16000.4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6.29</v>
      </c>
      <c r="D20" s="47">
        <v>5.28E-2</v>
      </c>
      <c r="E20" s="52">
        <f>C20/C19-1</f>
        <v>-6.2593144560357694E-2</v>
      </c>
      <c r="F20" s="53">
        <f>D20/365*28</f>
        <v>4.0504109589041097E-3</v>
      </c>
      <c r="G20" s="51">
        <f>E20-F20</f>
        <v>-6.6643555519261807E-2</v>
      </c>
      <c r="H20" s="1"/>
      <c r="I20" s="8">
        <f t="shared" ref="I20:I41" si="0">C20</f>
        <v>6.29</v>
      </c>
      <c r="J20" s="52">
        <f>I20/I19-1</f>
        <v>-6.2593144560357694E-2</v>
      </c>
      <c r="K20" s="48">
        <v>15398.2</v>
      </c>
      <c r="L20" s="52">
        <f>K20/K19-1</f>
        <v>-3.7636559086022814E-2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5.98</v>
      </c>
      <c r="D21" s="47">
        <v>5.2900000000000003E-2</v>
      </c>
      <c r="E21" s="52">
        <f t="shared" ref="E21:E41" si="1">C21/C20-1</f>
        <v>-4.9284578696343395E-2</v>
      </c>
      <c r="F21" s="53">
        <f t="shared" ref="F21:F41" si="2">D21/365*28</f>
        <v>4.0580821917808214E-3</v>
      </c>
      <c r="G21" s="51">
        <f t="shared" ref="G21:G41" si="3">E21-F21</f>
        <v>-5.3342660888124213E-2</v>
      </c>
      <c r="H21" s="1"/>
      <c r="I21" s="8">
        <f t="shared" si="0"/>
        <v>5.98</v>
      </c>
      <c r="J21" s="52">
        <f t="shared" ref="J21:J41" si="4">I21/I20-1</f>
        <v>-4.9284578696343395E-2</v>
      </c>
      <c r="K21" s="48">
        <v>14919.2</v>
      </c>
      <c r="L21" s="52">
        <f t="shared" ref="L21:L41" si="5">K21/K20-1</f>
        <v>-3.1107532049200581E-2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8.89</v>
      </c>
      <c r="D22" s="47">
        <v>5.2900000000000003E-2</v>
      </c>
      <c r="E22" s="52">
        <f t="shared" si="1"/>
        <v>0.48662207357859533</v>
      </c>
      <c r="F22" s="53">
        <f t="shared" si="2"/>
        <v>4.0580821917808214E-3</v>
      </c>
      <c r="G22" s="51">
        <f t="shared" si="3"/>
        <v>0.48256399138681449</v>
      </c>
      <c r="H22" s="1"/>
      <c r="I22" s="8">
        <f t="shared" si="0"/>
        <v>8.89</v>
      </c>
      <c r="J22" s="52">
        <f t="shared" si="4"/>
        <v>0.48662207357859533</v>
      </c>
      <c r="K22" s="48">
        <v>16088.8</v>
      </c>
      <c r="L22" s="52">
        <f t="shared" si="5"/>
        <v>7.8395624430264155E-2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C23">
        <v>8.9</v>
      </c>
      <c r="D23" s="47">
        <v>5.2900000000000003E-2</v>
      </c>
      <c r="E23" s="52">
        <f t="shared" si="1"/>
        <v>1.1248593925758943E-3</v>
      </c>
      <c r="F23" s="53">
        <f t="shared" si="2"/>
        <v>4.0580821917808214E-3</v>
      </c>
      <c r="G23" s="51">
        <f t="shared" si="3"/>
        <v>-2.9332227992049272E-3</v>
      </c>
      <c r="H23" s="1"/>
      <c r="I23" s="8">
        <f t="shared" si="0"/>
        <v>8.9</v>
      </c>
      <c r="J23" s="52">
        <f t="shared" si="4"/>
        <v>1.1248593925758943E-3</v>
      </c>
      <c r="K23" s="48">
        <v>16852.900000000001</v>
      </c>
      <c r="L23" s="52">
        <f t="shared" si="5"/>
        <v>4.7492665705335613E-2</v>
      </c>
      <c r="M23" s="1"/>
      <c r="N23" s="57" t="s">
        <v>51</v>
      </c>
      <c r="O23" s="58" t="s">
        <v>52</v>
      </c>
      <c r="P23" s="59" t="s">
        <v>44</v>
      </c>
      <c r="Q23" s="128">
        <v>2.1</v>
      </c>
      <c r="R23" s="61">
        <f>IF(Q23&gt;1.1,0,1)</f>
        <v>0</v>
      </c>
    </row>
    <row r="24" spans="2:18" x14ac:dyDescent="0.2">
      <c r="B24" s="46">
        <v>45261</v>
      </c>
      <c r="C24">
        <v>8.58</v>
      </c>
      <c r="D24" s="47">
        <v>5.33E-2</v>
      </c>
      <c r="E24" s="52">
        <f t="shared" si="1"/>
        <v>-3.5955056179775347E-2</v>
      </c>
      <c r="F24" s="53">
        <f t="shared" si="2"/>
        <v>4.0887671232876718E-3</v>
      </c>
      <c r="G24" s="51">
        <f t="shared" si="3"/>
        <v>-4.0043823303063018E-2</v>
      </c>
      <c r="H24" s="1"/>
      <c r="I24" s="8">
        <f t="shared" si="0"/>
        <v>8.58</v>
      </c>
      <c r="J24" s="52">
        <f t="shared" si="4"/>
        <v>-3.5955056179775347E-2</v>
      </c>
      <c r="K24" s="48">
        <v>16911.099999999999</v>
      </c>
      <c r="L24" s="52">
        <f t="shared" si="5"/>
        <v>3.4534115790159081E-3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13.04</v>
      </c>
      <c r="D25" s="47">
        <v>5.2699999999999997E-2</v>
      </c>
      <c r="E25" s="52">
        <f t="shared" si="1"/>
        <v>0.51981351981351964</v>
      </c>
      <c r="F25" s="53">
        <f t="shared" si="2"/>
        <v>4.0427397260273962E-3</v>
      </c>
      <c r="G25" s="51">
        <f t="shared" si="3"/>
        <v>0.51577078008749222</v>
      </c>
      <c r="H25" s="1"/>
      <c r="I25" s="8">
        <f t="shared" si="0"/>
        <v>13.04</v>
      </c>
      <c r="J25" s="52">
        <f t="shared" si="4"/>
        <v>0.51981351981351964</v>
      </c>
      <c r="K25" s="48">
        <v>17607.400000000001</v>
      </c>
      <c r="L25" s="52">
        <f t="shared" si="5"/>
        <v>4.1174140061853048E-2</v>
      </c>
      <c r="M25" s="1"/>
      <c r="N25" s="30"/>
      <c r="O25" s="64"/>
      <c r="P25" s="30" t="s">
        <v>23</v>
      </c>
      <c r="Q25" s="84">
        <f>Q10</f>
        <v>74.55</v>
      </c>
      <c r="R25" s="31"/>
    </row>
    <row r="26" spans="2:18" x14ac:dyDescent="0.2">
      <c r="B26" s="46">
        <v>45323</v>
      </c>
      <c r="C26">
        <v>15.47</v>
      </c>
      <c r="D26" s="47">
        <v>5.2999999999999999E-2</v>
      </c>
      <c r="E26" s="52">
        <f t="shared" si="1"/>
        <v>0.18634969325153383</v>
      </c>
      <c r="F26" s="53">
        <f t="shared" si="2"/>
        <v>4.0657534246575349E-3</v>
      </c>
      <c r="G26" s="51">
        <f t="shared" si="3"/>
        <v>0.1822839398268763</v>
      </c>
      <c r="H26" s="1"/>
      <c r="I26" s="8">
        <f t="shared" si="0"/>
        <v>15.47</v>
      </c>
      <c r="J26" s="52">
        <f t="shared" si="4"/>
        <v>0.18634969325153383</v>
      </c>
      <c r="K26" s="48">
        <v>18312.7</v>
      </c>
      <c r="L26" s="52">
        <f t="shared" si="5"/>
        <v>4.0057021479605215E-2</v>
      </c>
      <c r="M26" s="1"/>
      <c r="N26" s="49" t="s">
        <v>54</v>
      </c>
      <c r="O26" s="64"/>
      <c r="P26" s="30" t="s">
        <v>55</v>
      </c>
      <c r="Q26" s="132">
        <f>1/Q25</f>
        <v>1.341381623071764E-2</v>
      </c>
      <c r="R26" s="31">
        <f>IF(Q26&lt;Q19,0,1)</f>
        <v>0</v>
      </c>
    </row>
    <row r="27" spans="2:18" x14ac:dyDescent="0.2">
      <c r="B27" s="46">
        <v>45352</v>
      </c>
      <c r="C27">
        <v>12.53</v>
      </c>
      <c r="D27" s="47">
        <v>5.2900000000000003E-2</v>
      </c>
      <c r="E27" s="52">
        <f t="shared" si="1"/>
        <v>-0.19004524886877838</v>
      </c>
      <c r="F27" s="53">
        <f t="shared" si="2"/>
        <v>4.0580821917808214E-3</v>
      </c>
      <c r="G27" s="51">
        <f t="shared" si="3"/>
        <v>-0.19410333106055921</v>
      </c>
      <c r="H27" s="1"/>
      <c r="I27" s="8">
        <f t="shared" si="0"/>
        <v>12.53</v>
      </c>
      <c r="J27" s="52">
        <f t="shared" si="4"/>
        <v>-0.19004524886877838</v>
      </c>
      <c r="K27" s="48">
        <v>17603.3</v>
      </c>
      <c r="L27" s="52">
        <f t="shared" si="5"/>
        <v>-3.8738143474201014E-2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19.420000000000002</v>
      </c>
      <c r="D28" s="47">
        <v>5.28E-2</v>
      </c>
      <c r="E28" s="52">
        <f t="shared" si="1"/>
        <v>0.54988028731045513</v>
      </c>
      <c r="F28" s="53">
        <f t="shared" si="2"/>
        <v>4.0504109589041097E-3</v>
      </c>
      <c r="G28" s="51">
        <f t="shared" si="3"/>
        <v>0.545829876351551</v>
      </c>
      <c r="H28" s="1"/>
      <c r="I28" s="8">
        <f t="shared" si="0"/>
        <v>19.420000000000002</v>
      </c>
      <c r="J28" s="52">
        <f t="shared" si="4"/>
        <v>0.54988028731045513</v>
      </c>
      <c r="K28" s="48">
        <v>18083.7</v>
      </c>
      <c r="L28" s="52">
        <f t="shared" si="5"/>
        <v>2.7290337607153381E-2</v>
      </c>
      <c r="M28" s="1"/>
      <c r="N28" s="30"/>
      <c r="O28" s="1"/>
      <c r="P28" s="30" t="s">
        <v>57</v>
      </c>
      <c r="Q28" s="51">
        <f>Q18</f>
        <v>0.33270065702818702</v>
      </c>
      <c r="R28" s="31"/>
    </row>
    <row r="29" spans="2:18" x14ac:dyDescent="0.2">
      <c r="B29" s="46">
        <v>45413</v>
      </c>
      <c r="C29">
        <v>20.190000000000001</v>
      </c>
      <c r="D29" s="47">
        <v>5.2699999999999997E-2</v>
      </c>
      <c r="E29" s="52">
        <f t="shared" si="1"/>
        <v>3.9649845520082438E-2</v>
      </c>
      <c r="F29" s="53">
        <f t="shared" si="2"/>
        <v>4.0427397260273962E-3</v>
      </c>
      <c r="G29" s="51">
        <f t="shared" si="3"/>
        <v>3.5607105794055044E-2</v>
      </c>
      <c r="H29" s="1"/>
      <c r="I29" s="8">
        <f t="shared" si="0"/>
        <v>20.190000000000001</v>
      </c>
      <c r="J29" s="52">
        <f t="shared" si="4"/>
        <v>3.9649845520082438E-2</v>
      </c>
      <c r="K29" s="48">
        <v>18026.5</v>
      </c>
      <c r="L29" s="52">
        <f t="shared" si="5"/>
        <v>-3.1630695045815616E-3</v>
      </c>
      <c r="M29" s="1"/>
      <c r="N29" s="49" t="s">
        <v>117</v>
      </c>
      <c r="O29" s="1"/>
      <c r="P29" s="30" t="s">
        <v>58</v>
      </c>
      <c r="Q29" s="67">
        <v>-0.1331</v>
      </c>
      <c r="R29" s="31"/>
    </row>
    <row r="30" spans="2:18" ht="17" thickBot="1" x14ac:dyDescent="0.25">
      <c r="B30" s="46">
        <v>45444</v>
      </c>
      <c r="C30">
        <v>21.24</v>
      </c>
      <c r="D30" s="47">
        <v>5.2699999999999997E-2</v>
      </c>
      <c r="E30" s="52">
        <f t="shared" si="1"/>
        <v>5.2005943536403976E-2</v>
      </c>
      <c r="F30" s="53">
        <f t="shared" si="2"/>
        <v>4.0427397260273962E-3</v>
      </c>
      <c r="G30" s="51">
        <f t="shared" si="3"/>
        <v>4.7963203810376581E-2</v>
      </c>
      <c r="I30" s="8">
        <f t="shared" si="0"/>
        <v>21.24</v>
      </c>
      <c r="J30" s="52">
        <f t="shared" si="4"/>
        <v>5.2005943536403976E-2</v>
      </c>
      <c r="K30" s="48">
        <v>18710</v>
      </c>
      <c r="L30" s="52">
        <f t="shared" si="5"/>
        <v>3.7916400854297816E-2</v>
      </c>
      <c r="M30" s="1"/>
      <c r="N30" s="1"/>
      <c r="O30" s="1"/>
      <c r="P30" s="33"/>
      <c r="Q30" s="68">
        <f>Q28-Q29</f>
        <v>0.46580065702818702</v>
      </c>
      <c r="R30" s="31">
        <f>IF(Q28&lt;Q29,0,1)</f>
        <v>1</v>
      </c>
    </row>
    <row r="31" spans="2:18" ht="17" thickBot="1" x14ac:dyDescent="0.25">
      <c r="B31" s="46">
        <v>45474</v>
      </c>
      <c r="C31">
        <v>14.73</v>
      </c>
      <c r="D31" s="47">
        <v>5.28E-2</v>
      </c>
      <c r="E31" s="52">
        <f t="shared" si="1"/>
        <v>-0.30649717514124286</v>
      </c>
      <c r="F31" s="53">
        <f t="shared" si="2"/>
        <v>4.0504109589041097E-3</v>
      </c>
      <c r="G31" s="51">
        <f t="shared" si="3"/>
        <v>-0.31054758610014699</v>
      </c>
      <c r="H31" s="1"/>
      <c r="I31" s="8">
        <f t="shared" si="0"/>
        <v>14.73</v>
      </c>
      <c r="J31" s="52">
        <f t="shared" si="4"/>
        <v>-0.30649717514124286</v>
      </c>
      <c r="K31" s="48">
        <v>19292.2</v>
      </c>
      <c r="L31" s="52">
        <f t="shared" si="5"/>
        <v>3.1117049706039568E-2</v>
      </c>
      <c r="M31" s="1"/>
      <c r="N31" s="1"/>
      <c r="O31" s="1"/>
      <c r="P31" s="30"/>
      <c r="Q31" s="69"/>
      <c r="R31" s="133">
        <f>SUM(R10:R30)/8</f>
        <v>0.375</v>
      </c>
    </row>
    <row r="32" spans="2:18" x14ac:dyDescent="0.2">
      <c r="B32" s="46">
        <v>45505</v>
      </c>
      <c r="C32">
        <v>18.420000000000002</v>
      </c>
      <c r="D32" s="47">
        <v>5.1799999999999999E-2</v>
      </c>
      <c r="E32" s="52">
        <f t="shared" si="1"/>
        <v>0.25050916496945019</v>
      </c>
      <c r="F32" s="53">
        <f t="shared" si="2"/>
        <v>3.9736986301369863E-3</v>
      </c>
      <c r="G32" s="51">
        <f t="shared" si="3"/>
        <v>0.2465354663393132</v>
      </c>
      <c r="H32" s="1"/>
      <c r="I32" s="8">
        <f t="shared" si="0"/>
        <v>18.420000000000002</v>
      </c>
      <c r="J32" s="52">
        <f t="shared" si="4"/>
        <v>0.25050916496945019</v>
      </c>
      <c r="K32" s="48">
        <v>19516.400000000001</v>
      </c>
      <c r="L32" s="52">
        <f t="shared" si="5"/>
        <v>1.1621276992774376E-2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18.829999999999998</v>
      </c>
      <c r="D33" s="47">
        <v>4.7399999999999998E-2</v>
      </c>
      <c r="E33" s="52">
        <f t="shared" si="1"/>
        <v>2.2258414766557877E-2</v>
      </c>
      <c r="F33" s="53">
        <f t="shared" si="2"/>
        <v>3.6361643835616433E-3</v>
      </c>
      <c r="G33" s="51">
        <f t="shared" si="3"/>
        <v>1.8622250382996232E-2</v>
      </c>
      <c r="H33" s="1"/>
      <c r="I33" s="8">
        <f t="shared" si="0"/>
        <v>18.829999999999998</v>
      </c>
      <c r="J33" s="52">
        <f t="shared" si="4"/>
        <v>2.2258414766557877E-2</v>
      </c>
      <c r="K33" s="48">
        <v>19239</v>
      </c>
      <c r="L33" s="52">
        <f t="shared" si="5"/>
        <v>-1.4213686950462212E-2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32.22</v>
      </c>
      <c r="D34" s="47">
        <v>4.58E-2</v>
      </c>
      <c r="E34" s="52">
        <f t="shared" si="1"/>
        <v>0.71109930961232082</v>
      </c>
      <c r="F34" s="53">
        <f t="shared" si="2"/>
        <v>3.5134246575342465E-3</v>
      </c>
      <c r="G34" s="51">
        <f t="shared" si="3"/>
        <v>0.70758588495478658</v>
      </c>
      <c r="H34" s="1"/>
      <c r="I34" s="8">
        <f t="shared" si="0"/>
        <v>32.22</v>
      </c>
      <c r="J34" s="52">
        <f t="shared" si="4"/>
        <v>0.71109930961232082</v>
      </c>
      <c r="K34" s="48">
        <v>20272</v>
      </c>
      <c r="L34" s="52">
        <f t="shared" si="5"/>
        <v>5.3693019387702101E-2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24.18</v>
      </c>
      <c r="D35" s="47">
        <v>4.5499999999999999E-2</v>
      </c>
      <c r="E35" s="52">
        <f t="shared" si="1"/>
        <v>-0.24953445065176905</v>
      </c>
      <c r="F35" s="53">
        <f t="shared" si="2"/>
        <v>3.4904109589041091E-3</v>
      </c>
      <c r="G35" s="51">
        <f t="shared" si="3"/>
        <v>-0.25302486161067317</v>
      </c>
      <c r="H35" s="1"/>
      <c r="I35" s="8">
        <f t="shared" si="0"/>
        <v>24.18</v>
      </c>
      <c r="J35" s="52">
        <f t="shared" si="4"/>
        <v>-0.24953445065176905</v>
      </c>
      <c r="K35" s="48">
        <v>19097.099999999999</v>
      </c>
      <c r="L35" s="52">
        <f t="shared" si="5"/>
        <v>-5.7956787687450717E-2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37.28</v>
      </c>
      <c r="D36" s="47">
        <v>4.2200000000000001E-2</v>
      </c>
      <c r="E36" s="52">
        <f t="shared" si="1"/>
        <v>0.54177005789909027</v>
      </c>
      <c r="F36" s="53">
        <f t="shared" si="2"/>
        <v>3.2372602739726029E-3</v>
      </c>
      <c r="G36" s="51">
        <f t="shared" si="3"/>
        <v>0.53853279762511763</v>
      </c>
      <c r="H36" s="1"/>
      <c r="I36" s="8">
        <f t="shared" si="0"/>
        <v>37.28</v>
      </c>
      <c r="J36" s="52">
        <f t="shared" si="4"/>
        <v>0.54177005789909027</v>
      </c>
      <c r="K36" s="48">
        <v>19998.8</v>
      </c>
      <c r="L36" s="52">
        <f t="shared" si="5"/>
        <v>4.7216593095286807E-2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45.09</v>
      </c>
      <c r="D37" s="47">
        <v>4.2599999999999999E-2</v>
      </c>
      <c r="E37" s="52">
        <f t="shared" si="1"/>
        <v>0.20949570815450658</v>
      </c>
      <c r="F37" s="53">
        <f t="shared" si="2"/>
        <v>3.267945205479452E-3</v>
      </c>
      <c r="G37" s="51">
        <f t="shared" si="3"/>
        <v>0.20622776294902712</v>
      </c>
      <c r="H37" s="1"/>
      <c r="I37" s="8">
        <f t="shared" si="0"/>
        <v>45.09</v>
      </c>
      <c r="J37" s="52">
        <f t="shared" si="4"/>
        <v>0.20949570815450658</v>
      </c>
      <c r="K37" s="48">
        <v>20028.2</v>
      </c>
      <c r="L37" s="52">
        <f t="shared" si="5"/>
        <v>1.4700882052924857E-3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29.55</v>
      </c>
      <c r="D38" s="47">
        <v>4.24E-2</v>
      </c>
      <c r="E38" s="52">
        <f t="shared" si="1"/>
        <v>-0.34464404524284764</v>
      </c>
      <c r="F38" s="53">
        <f t="shared" si="2"/>
        <v>3.2526027397260277E-3</v>
      </c>
      <c r="G38" s="51">
        <f t="shared" si="3"/>
        <v>-0.34789664798257369</v>
      </c>
      <c r="H38" s="1"/>
      <c r="I38" s="8">
        <f t="shared" si="0"/>
        <v>29.55</v>
      </c>
      <c r="J38" s="52">
        <f t="shared" si="4"/>
        <v>-0.34464404524284764</v>
      </c>
      <c r="K38" s="48">
        <v>19395.900000000001</v>
      </c>
      <c r="L38" s="52">
        <f t="shared" si="5"/>
        <v>-3.1570485615282418E-2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33.1</v>
      </c>
      <c r="D39" s="47">
        <v>4.24E-2</v>
      </c>
      <c r="E39" s="52">
        <f t="shared" si="1"/>
        <v>0.12013536379018608</v>
      </c>
      <c r="F39" s="53">
        <f t="shared" si="2"/>
        <v>3.2526027397260277E-3</v>
      </c>
      <c r="G39" s="51">
        <f t="shared" si="3"/>
        <v>0.11688276105046005</v>
      </c>
      <c r="H39" s="1"/>
      <c r="I39" s="8">
        <f t="shared" si="0"/>
        <v>33.1</v>
      </c>
      <c r="J39" s="52">
        <f t="shared" si="4"/>
        <v>0.12013536379018608</v>
      </c>
      <c r="K39" s="48">
        <v>19114.2</v>
      </c>
      <c r="L39" s="52">
        <f t="shared" si="5"/>
        <v>-1.4523687995916745E-2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56.56</v>
      </c>
      <c r="D40" s="47">
        <v>4.2299999999999997E-2</v>
      </c>
      <c r="E40" s="52">
        <f t="shared" si="1"/>
        <v>0.70876132930513602</v>
      </c>
      <c r="F40" s="53">
        <f t="shared" si="2"/>
        <v>3.2449315068493151E-3</v>
      </c>
      <c r="G40" s="51">
        <f t="shared" si="3"/>
        <v>0.70551639779828668</v>
      </c>
      <c r="H40" s="1"/>
      <c r="I40" s="8">
        <f t="shared" si="0"/>
        <v>56.56</v>
      </c>
      <c r="J40" s="52">
        <f t="shared" si="4"/>
        <v>0.70876132930513602</v>
      </c>
      <c r="K40" s="48">
        <v>19783.8</v>
      </c>
      <c r="L40" s="52">
        <f t="shared" si="5"/>
        <v>3.5031547226669124E-2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55.48</v>
      </c>
      <c r="D41" s="47">
        <v>4.2200000000000001E-2</v>
      </c>
      <c r="E41" s="52">
        <f t="shared" si="1"/>
        <v>-1.9094766619519143E-2</v>
      </c>
      <c r="F41" s="53">
        <f t="shared" si="2"/>
        <v>3.2372602739726029E-3</v>
      </c>
      <c r="G41" s="51">
        <f t="shared" si="3"/>
        <v>-2.2332026893491747E-2</v>
      </c>
      <c r="H41" s="1"/>
      <c r="I41" s="8">
        <f t="shared" si="0"/>
        <v>55.48</v>
      </c>
      <c r="J41" s="52">
        <f t="shared" si="4"/>
        <v>-1.9094766619519143E-2</v>
      </c>
      <c r="K41" s="48">
        <v>19981.099999999999</v>
      </c>
      <c r="L41" s="52">
        <f t="shared" si="5"/>
        <v>9.9728060332191504E-3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0.13904793191818429</v>
      </c>
      <c r="H43" s="1"/>
      <c r="I43" s="1"/>
      <c r="J43" s="1"/>
      <c r="K43" s="48" t="s">
        <v>65</v>
      </c>
      <c r="L43" s="82">
        <f>COVAR(J20:J41,L20:L41)</f>
        <v>7.5712905149491272E-3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1.3119365558916414E-3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5.7710797682616546</v>
      </c>
    </row>
    <row r="46" spans="2:18" x14ac:dyDescent="0.2">
      <c r="G46">
        <f>G43*L45</f>
        <v>0.80245670671165736</v>
      </c>
    </row>
    <row r="47" spans="2:18" x14ac:dyDescent="0.2">
      <c r="L47" s="166"/>
    </row>
    <row r="48" spans="2:18" x14ac:dyDescent="0.2">
      <c r="B48" s="167"/>
      <c r="D48" s="47"/>
    </row>
    <row r="49" spans="2:4" x14ac:dyDescent="0.2">
      <c r="B49" s="167"/>
      <c r="D49" s="47"/>
    </row>
    <row r="50" spans="2:4" x14ac:dyDescent="0.2">
      <c r="B50" s="167"/>
      <c r="D50" s="47"/>
    </row>
    <row r="51" spans="2:4" x14ac:dyDescent="0.2">
      <c r="B51" s="167"/>
      <c r="D51" s="47"/>
    </row>
    <row r="52" spans="2:4" x14ac:dyDescent="0.2">
      <c r="B52" s="167"/>
    </row>
    <row r="53" spans="2:4" x14ac:dyDescent="0.2">
      <c r="B53" s="167"/>
    </row>
    <row r="54" spans="2:4" x14ac:dyDescent="0.2">
      <c r="B54" s="167"/>
    </row>
    <row r="55" spans="2:4" x14ac:dyDescent="0.2">
      <c r="B55" s="167"/>
    </row>
    <row r="56" spans="2:4" x14ac:dyDescent="0.2">
      <c r="B56" s="167"/>
    </row>
    <row r="57" spans="2:4" x14ac:dyDescent="0.2">
      <c r="B57" s="167"/>
    </row>
    <row r="58" spans="2:4" x14ac:dyDescent="0.2">
      <c r="B58" s="167"/>
    </row>
    <row r="59" spans="2:4" x14ac:dyDescent="0.2">
      <c r="B59" s="167"/>
    </row>
    <row r="60" spans="2:4" x14ac:dyDescent="0.2">
      <c r="B60" s="167"/>
    </row>
    <row r="61" spans="2:4" x14ac:dyDescent="0.2">
      <c r="B61" s="167"/>
    </row>
    <row r="62" spans="2:4" x14ac:dyDescent="0.2">
      <c r="B62" s="167"/>
    </row>
    <row r="63" spans="2:4" x14ac:dyDescent="0.2">
      <c r="B63" s="167"/>
    </row>
  </sheetData>
  <mergeCells count="1">
    <mergeCell ref="B4:D4"/>
  </mergeCells>
  <conditionalFormatting sqref="S10">
    <cfRule type="expression" dxfId="208" priority="19">
      <formula>IF($Q$10&gt;$Q$11,1,0)</formula>
    </cfRule>
  </conditionalFormatting>
  <conditionalFormatting sqref="Q10">
    <cfRule type="expression" dxfId="207" priority="10">
      <formula>IF($Q$10&lt;$Q$11,1,0)</formula>
    </cfRule>
    <cfRule type="expression" dxfId="206" priority="18">
      <formula>IF($Q$10&gt;$Q$11,1,0)</formula>
    </cfRule>
  </conditionalFormatting>
  <conditionalFormatting sqref="Q12">
    <cfRule type="expression" dxfId="205" priority="9">
      <formula>IF($Q$12&gt;$Q$13,1,0)</formula>
    </cfRule>
    <cfRule type="expression" dxfId="204" priority="17">
      <formula>IF($Q$12&lt;$Q$13,1,0)</formula>
    </cfRule>
  </conditionalFormatting>
  <conditionalFormatting sqref="Q14">
    <cfRule type="expression" dxfId="203" priority="16">
      <formula>IF($Q$15="Sell",1,0)</formula>
    </cfRule>
  </conditionalFormatting>
  <conditionalFormatting sqref="Q14:Q15">
    <cfRule type="expression" dxfId="202" priority="15">
      <formula>IF($Q$15="Buy",1,0)</formula>
    </cfRule>
  </conditionalFormatting>
  <conditionalFormatting sqref="Q16">
    <cfRule type="expression" dxfId="201" priority="13">
      <formula>IF($Q$16&lt;$Q$17,1,0)</formula>
    </cfRule>
    <cfRule type="expression" dxfId="200" priority="14">
      <formula>IF($Q$16&gt;$Q$17,1,0)</formula>
    </cfRule>
  </conditionalFormatting>
  <conditionalFormatting sqref="Q18">
    <cfRule type="expression" dxfId="199" priority="11">
      <formula>IF($Q$18&lt;$Q$19,1,0)</formula>
    </cfRule>
    <cfRule type="expression" dxfId="198" priority="12">
      <formula>IF($Q$18&gt;$Q$19,1,0)</formula>
    </cfRule>
  </conditionalFormatting>
  <conditionalFormatting sqref="Q23">
    <cfRule type="expression" dxfId="197" priority="7">
      <formula>IF($Q$23&lt;1.1,1,0)</formula>
    </cfRule>
    <cfRule type="expression" dxfId="196" priority="8">
      <formula>IF($Q$23&gt;1.1,1,0)</formula>
    </cfRule>
  </conditionalFormatting>
  <conditionalFormatting sqref="Q26">
    <cfRule type="expression" dxfId="195" priority="5">
      <formula>IF($Q$26&lt;$Q$19,1,0)</formula>
    </cfRule>
    <cfRule type="expression" dxfId="194" priority="6">
      <formula>IF($Q$26&gt;$Q$19,1,0)</formula>
    </cfRule>
  </conditionalFormatting>
  <conditionalFormatting sqref="Q30">
    <cfRule type="expression" dxfId="193" priority="3">
      <formula>IF($Q$28&lt;$Q$29,1,0)</formula>
    </cfRule>
    <cfRule type="expression" dxfId="192" priority="4">
      <formula>IF($Q$28&gt;$Q$29,1,0)</formula>
    </cfRule>
  </conditionalFormatting>
  <conditionalFormatting sqref="R31">
    <cfRule type="expression" dxfId="191" priority="1">
      <formula>IF($R$31&lt;0.485,1,0)</formula>
    </cfRule>
    <cfRule type="expression" dxfId="190" priority="2">
      <formula>IF($R$31&gt;0.49,1,0)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4FE1C-EF53-4D81-A193-FB80C264B396}">
  <sheetPr codeName="Sheet19"/>
  <dimension ref="B2:R45"/>
  <sheetViews>
    <sheetView topLeftCell="A3" zoomScale="85" zoomScaleNormal="85" workbookViewId="0">
      <selection activeCell="H37" sqref="H37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174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175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SOFI</v>
      </c>
      <c r="R5" s="8"/>
    </row>
    <row r="6" spans="2:18" x14ac:dyDescent="0.2">
      <c r="B6" s="1" t="s">
        <v>4</v>
      </c>
      <c r="C6" s="1" t="s">
        <v>62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NASDAQ</v>
      </c>
      <c r="R6" s="8"/>
    </row>
    <row r="7" spans="2:18" x14ac:dyDescent="0.2">
      <c r="B7" s="1" t="s">
        <v>7</v>
      </c>
      <c r="C7" s="13">
        <v>45821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14.09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32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8.68</v>
      </c>
      <c r="R11" s="31">
        <f>IF(Q10&gt;Q11,0,1)</f>
        <v>0</v>
      </c>
    </row>
    <row r="12" spans="2:18" x14ac:dyDescent="0.2">
      <c r="B12" s="1" t="s">
        <v>26</v>
      </c>
      <c r="C12" s="32">
        <f>Q23</f>
        <v>1.83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0.06</v>
      </c>
      <c r="R12" s="25"/>
    </row>
    <row r="13" spans="2:18" x14ac:dyDescent="0.2">
      <c r="B13" s="1" t="s">
        <v>30</v>
      </c>
      <c r="C13" s="26">
        <f>G43</f>
        <v>3.2854363350003142E-2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0.04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0.10082348493050575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-0.06</v>
      </c>
      <c r="R14" s="31"/>
    </row>
    <row r="15" spans="2:18" ht="19" x14ac:dyDescent="0.25">
      <c r="B15" s="1" t="s">
        <v>36</v>
      </c>
      <c r="C15" s="39">
        <f>C10*(1+C14)</f>
        <v>15.510602902670824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f>IF(Q15="Sell",0,1)</f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 t="s">
        <v>128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1.04</v>
      </c>
      <c r="R17" s="42">
        <f>IF(Q16&lt;Q17,0,1)</f>
        <v>1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SoFi Technologies Inc.</v>
      </c>
      <c r="J18" s="34" t="s">
        <v>45</v>
      </c>
      <c r="K18" s="34" t="str">
        <f>_xlfn.CONCAT("Precio ",C6)</f>
        <v>Precio NASDAQ</v>
      </c>
      <c r="L18" s="34" t="s">
        <v>46</v>
      </c>
      <c r="M18" s="1"/>
      <c r="N18" s="21"/>
      <c r="O18" s="22"/>
      <c r="P18" s="23" t="s">
        <v>47</v>
      </c>
      <c r="Q18" s="137">
        <f>C14</f>
        <v>0.10082348493050575</v>
      </c>
      <c r="R18" s="25"/>
    </row>
    <row r="19" spans="2:18" x14ac:dyDescent="0.2">
      <c r="B19" s="46">
        <v>45108</v>
      </c>
      <c r="C19">
        <v>8.66</v>
      </c>
      <c r="D19" s="47">
        <v>5.2699999999999997E-2</v>
      </c>
      <c r="E19" s="1"/>
      <c r="F19" s="1"/>
      <c r="G19" s="1"/>
      <c r="H19" s="1"/>
      <c r="I19" s="8">
        <f>C19</f>
        <v>8.66</v>
      </c>
      <c r="J19" s="8"/>
      <c r="K19" s="48">
        <v>15501.07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7.99</v>
      </c>
      <c r="D20" s="47">
        <v>5.28E-2</v>
      </c>
      <c r="E20" s="52">
        <f>C20/C19-1</f>
        <v>-7.7367205542725137E-2</v>
      </c>
      <c r="F20" s="53">
        <f>D20/365*28</f>
        <v>4.0504109589041097E-3</v>
      </c>
      <c r="G20" s="51">
        <f>E20-F20</f>
        <v>-8.141761650162925E-2</v>
      </c>
      <c r="H20" s="1"/>
      <c r="I20" s="8">
        <f t="shared" ref="I20:I41" si="0">C20</f>
        <v>7.99</v>
      </c>
      <c r="J20" s="52">
        <f>I20/I19-1</f>
        <v>-7.7367205542725137E-2</v>
      </c>
      <c r="K20" s="48">
        <v>14715.24</v>
      </c>
      <c r="L20" s="52">
        <f>K20/K19-1</f>
        <v>-5.0695210072595032E-2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7.55</v>
      </c>
      <c r="D21" s="47">
        <v>5.2900000000000003E-2</v>
      </c>
      <c r="E21" s="52">
        <f t="shared" ref="E21:E41" si="1">C21/C20-1</f>
        <v>-5.5068836045056413E-2</v>
      </c>
      <c r="F21" s="53">
        <f t="shared" ref="F21:F41" si="2">D21/365*28</f>
        <v>4.0580821917808214E-3</v>
      </c>
      <c r="G21" s="51">
        <f t="shared" ref="G21:G41" si="3">E21-F21</f>
        <v>-5.9126918236837231E-2</v>
      </c>
      <c r="H21" s="1"/>
      <c r="I21" s="8">
        <f t="shared" si="0"/>
        <v>7.55</v>
      </c>
      <c r="J21" s="52">
        <f t="shared" ref="J21:J41" si="4">I21/I20-1</f>
        <v>-5.5068836045056413E-2</v>
      </c>
      <c r="K21" s="48">
        <v>14409.78</v>
      </c>
      <c r="L21" s="52">
        <f t="shared" ref="L21:L41" si="5">K21/K20-1</f>
        <v>-2.0758071224118657E-2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7.29</v>
      </c>
      <c r="D22" s="47">
        <v>5.2900000000000003E-2</v>
      </c>
      <c r="E22" s="52">
        <f t="shared" si="1"/>
        <v>-3.443708609271523E-2</v>
      </c>
      <c r="F22" s="53">
        <f t="shared" si="2"/>
        <v>4.0580821917808214E-3</v>
      </c>
      <c r="G22" s="51">
        <f t="shared" si="3"/>
        <v>-3.8495168284496048E-2</v>
      </c>
      <c r="H22" s="1"/>
      <c r="I22" s="8">
        <f t="shared" si="0"/>
        <v>7.29</v>
      </c>
      <c r="J22" s="52">
        <f t="shared" si="4"/>
        <v>-3.443708609271523E-2</v>
      </c>
      <c r="K22" s="48">
        <v>15947.87</v>
      </c>
      <c r="L22" s="52">
        <f t="shared" si="5"/>
        <v>0.10673931177297646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C23">
        <v>9.9499999999999993</v>
      </c>
      <c r="D23" s="47">
        <v>5.2900000000000003E-2</v>
      </c>
      <c r="E23" s="52">
        <f t="shared" si="1"/>
        <v>0.36488340192043878</v>
      </c>
      <c r="F23" s="53">
        <f t="shared" si="2"/>
        <v>4.0580821917808214E-3</v>
      </c>
      <c r="G23" s="51">
        <f t="shared" si="3"/>
        <v>0.36082531972865795</v>
      </c>
      <c r="H23" s="1"/>
      <c r="I23" s="8">
        <f t="shared" si="0"/>
        <v>9.9499999999999993</v>
      </c>
      <c r="J23" s="52">
        <f t="shared" si="4"/>
        <v>0.36488340192043878</v>
      </c>
      <c r="K23" s="48">
        <v>16825.93</v>
      </c>
      <c r="L23" s="52">
        <f t="shared" si="5"/>
        <v>5.5058136290300874E-2</v>
      </c>
      <c r="M23" s="1"/>
      <c r="N23" s="57" t="s">
        <v>51</v>
      </c>
      <c r="O23" s="58" t="s">
        <v>52</v>
      </c>
      <c r="P23" s="59" t="s">
        <v>44</v>
      </c>
      <c r="Q23" s="128">
        <v>1.83</v>
      </c>
      <c r="R23" s="61">
        <f>IF(Q23&gt;1.1,0,1)</f>
        <v>0</v>
      </c>
    </row>
    <row r="24" spans="2:18" x14ac:dyDescent="0.2">
      <c r="B24" s="46">
        <v>45261</v>
      </c>
      <c r="C24">
        <v>7.83</v>
      </c>
      <c r="D24" s="47">
        <v>5.33E-2</v>
      </c>
      <c r="E24" s="52">
        <f t="shared" si="1"/>
        <v>-0.2130653266331658</v>
      </c>
      <c r="F24" s="53">
        <f t="shared" si="2"/>
        <v>4.0887671232876718E-3</v>
      </c>
      <c r="G24" s="51">
        <f t="shared" si="3"/>
        <v>-0.21715409375645348</v>
      </c>
      <c r="H24" s="1"/>
      <c r="I24" s="8">
        <f t="shared" si="0"/>
        <v>7.83</v>
      </c>
      <c r="J24" s="52">
        <f t="shared" si="4"/>
        <v>-0.2130653266331658</v>
      </c>
      <c r="K24" s="48">
        <v>17137.240000000002</v>
      </c>
      <c r="L24" s="52">
        <f t="shared" si="5"/>
        <v>1.8501800494831633E-2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8.98</v>
      </c>
      <c r="D25" s="47">
        <v>5.2699999999999997E-2</v>
      </c>
      <c r="E25" s="52">
        <f t="shared" si="1"/>
        <v>0.14687100893997451</v>
      </c>
      <c r="F25" s="53">
        <f t="shared" si="2"/>
        <v>4.0427397260273962E-3</v>
      </c>
      <c r="G25" s="51">
        <f t="shared" si="3"/>
        <v>0.14282826921394712</v>
      </c>
      <c r="H25" s="1"/>
      <c r="I25" s="8">
        <f t="shared" si="0"/>
        <v>8.98</v>
      </c>
      <c r="J25" s="52">
        <f t="shared" si="4"/>
        <v>0.14687100893997451</v>
      </c>
      <c r="K25" s="48">
        <v>18043.849999999999</v>
      </c>
      <c r="L25" s="52">
        <f t="shared" si="5"/>
        <v>5.2902917856084031E-2</v>
      </c>
      <c r="M25" s="1"/>
      <c r="N25" s="30"/>
      <c r="O25" s="64"/>
      <c r="P25" s="30" t="s">
        <v>23</v>
      </c>
      <c r="Q25" s="84">
        <f>Q10</f>
        <v>32</v>
      </c>
      <c r="R25" s="31"/>
    </row>
    <row r="26" spans="2:18" x14ac:dyDescent="0.2">
      <c r="B26" s="46">
        <v>45323</v>
      </c>
      <c r="C26">
        <v>7.3</v>
      </c>
      <c r="D26" s="47">
        <v>5.2999999999999999E-2</v>
      </c>
      <c r="E26" s="52">
        <f t="shared" si="1"/>
        <v>-0.18708240534521159</v>
      </c>
      <c r="F26" s="53">
        <f t="shared" si="2"/>
        <v>4.0657534246575349E-3</v>
      </c>
      <c r="G26" s="51">
        <f t="shared" si="3"/>
        <v>-0.19114815876986913</v>
      </c>
      <c r="H26" s="1"/>
      <c r="I26" s="8">
        <f t="shared" si="0"/>
        <v>7.3</v>
      </c>
      <c r="J26" s="52">
        <f t="shared" si="4"/>
        <v>-0.18708240534521159</v>
      </c>
      <c r="K26" s="48">
        <v>18254.689999999999</v>
      </c>
      <c r="L26" s="52">
        <f t="shared" si="5"/>
        <v>1.1684867697304036E-2</v>
      </c>
      <c r="M26" s="1"/>
      <c r="N26" s="49" t="s">
        <v>54</v>
      </c>
      <c r="O26" s="64"/>
      <c r="P26" s="30" t="s">
        <v>55</v>
      </c>
      <c r="Q26" s="132">
        <f>1/Q25</f>
        <v>3.125E-2</v>
      </c>
      <c r="R26" s="31">
        <f>IF(Q26&lt;Q19,0,1)</f>
        <v>0</v>
      </c>
    </row>
    <row r="27" spans="2:18" x14ac:dyDescent="0.2">
      <c r="B27" s="46">
        <v>45352</v>
      </c>
      <c r="C27">
        <v>6.78</v>
      </c>
      <c r="D27" s="47">
        <v>5.2900000000000003E-2</v>
      </c>
      <c r="E27" s="52">
        <f t="shared" si="1"/>
        <v>-7.1232876712328697E-2</v>
      </c>
      <c r="F27" s="53">
        <f t="shared" si="2"/>
        <v>4.0580821917808214E-3</v>
      </c>
      <c r="G27" s="51">
        <f t="shared" si="3"/>
        <v>-7.5290958904109515E-2</v>
      </c>
      <c r="H27" s="1"/>
      <c r="I27" s="8">
        <f t="shared" si="0"/>
        <v>6.78</v>
      </c>
      <c r="J27" s="52">
        <f t="shared" si="4"/>
        <v>-7.1232876712328697E-2</v>
      </c>
      <c r="K27" s="48">
        <v>17440.689999999999</v>
      </c>
      <c r="L27" s="52">
        <f t="shared" si="5"/>
        <v>-4.4591280377809794E-2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6.9</v>
      </c>
      <c r="D28" s="47">
        <v>5.28E-2</v>
      </c>
      <c r="E28" s="52">
        <f t="shared" si="1"/>
        <v>1.7699115044247815E-2</v>
      </c>
      <c r="F28" s="53">
        <f t="shared" si="2"/>
        <v>4.0504109589041097E-3</v>
      </c>
      <c r="G28" s="51">
        <f t="shared" si="3"/>
        <v>1.3648704085343705E-2</v>
      </c>
      <c r="H28" s="1"/>
      <c r="I28" s="8">
        <f t="shared" si="0"/>
        <v>6.9</v>
      </c>
      <c r="J28" s="52">
        <f t="shared" si="4"/>
        <v>1.7699115044247815E-2</v>
      </c>
      <c r="K28" s="48">
        <v>18536.650000000001</v>
      </c>
      <c r="L28" s="52">
        <f t="shared" si="5"/>
        <v>6.2839256933068688E-2</v>
      </c>
      <c r="M28" s="1"/>
      <c r="N28" s="30"/>
      <c r="O28" s="1"/>
      <c r="P28" s="30" t="s">
        <v>57</v>
      </c>
      <c r="Q28" s="51">
        <f>Q18</f>
        <v>0.10082348493050575</v>
      </c>
      <c r="R28" s="31"/>
    </row>
    <row r="29" spans="2:18" x14ac:dyDescent="0.2">
      <c r="B29" s="46">
        <v>45413</v>
      </c>
      <c r="C29">
        <v>6.61</v>
      </c>
      <c r="D29" s="47">
        <v>5.2699999999999997E-2</v>
      </c>
      <c r="E29" s="52">
        <f t="shared" si="1"/>
        <v>-4.202898550724643E-2</v>
      </c>
      <c r="F29" s="53">
        <f t="shared" si="2"/>
        <v>4.0427397260273962E-3</v>
      </c>
      <c r="G29" s="51">
        <f t="shared" si="3"/>
        <v>-4.6071725233273825E-2</v>
      </c>
      <c r="H29" s="1"/>
      <c r="I29" s="8">
        <f t="shared" si="0"/>
        <v>6.61</v>
      </c>
      <c r="J29" s="52">
        <f t="shared" si="4"/>
        <v>-4.202898550724643E-2</v>
      </c>
      <c r="K29" s="48">
        <v>19682.87</v>
      </c>
      <c r="L29" s="52">
        <f t="shared" si="5"/>
        <v>6.1835337021522108E-2</v>
      </c>
      <c r="M29" s="1"/>
      <c r="N29" s="49" t="s">
        <v>117</v>
      </c>
      <c r="O29" s="1"/>
      <c r="P29" s="30" t="s">
        <v>58</v>
      </c>
      <c r="Q29" s="67">
        <v>-1.4E-2</v>
      </c>
      <c r="R29" s="31"/>
    </row>
    <row r="30" spans="2:18" ht="17" thickBot="1" x14ac:dyDescent="0.25">
      <c r="B30" s="46">
        <v>45444</v>
      </c>
      <c r="C30">
        <v>7.54</v>
      </c>
      <c r="D30" s="47">
        <v>5.2699999999999997E-2</v>
      </c>
      <c r="E30" s="52">
        <f t="shared" si="1"/>
        <v>0.14069591527987901</v>
      </c>
      <c r="F30" s="53">
        <f t="shared" si="2"/>
        <v>4.0427397260273962E-3</v>
      </c>
      <c r="G30" s="51">
        <f t="shared" si="3"/>
        <v>0.13665317555385162</v>
      </c>
      <c r="I30" s="8">
        <f t="shared" si="0"/>
        <v>7.54</v>
      </c>
      <c r="J30" s="52">
        <f t="shared" si="4"/>
        <v>0.14069591527987901</v>
      </c>
      <c r="K30" s="48">
        <v>19362.43</v>
      </c>
      <c r="L30" s="52">
        <f t="shared" si="5"/>
        <v>-1.6280146137224838E-2</v>
      </c>
      <c r="M30" s="1"/>
      <c r="N30" s="1"/>
      <c r="O30" s="1"/>
      <c r="P30" s="33"/>
      <c r="Q30" s="68">
        <f>Q28-Q29</f>
        <v>0.11482348493050575</v>
      </c>
      <c r="R30" s="31">
        <f>IF(Q28&lt;Q29,0,1)</f>
        <v>1</v>
      </c>
    </row>
    <row r="31" spans="2:18" ht="17" thickBot="1" x14ac:dyDescent="0.25">
      <c r="B31" s="46">
        <v>45474</v>
      </c>
      <c r="C31">
        <v>7.99</v>
      </c>
      <c r="D31" s="47">
        <v>5.28E-2</v>
      </c>
      <c r="E31" s="52">
        <f t="shared" si="1"/>
        <v>5.9681697612732121E-2</v>
      </c>
      <c r="F31" s="53">
        <f t="shared" si="2"/>
        <v>4.0504109589041097E-3</v>
      </c>
      <c r="G31" s="51">
        <f t="shared" si="3"/>
        <v>5.5631286653828008E-2</v>
      </c>
      <c r="H31" s="1"/>
      <c r="I31" s="8">
        <f t="shared" si="0"/>
        <v>7.99</v>
      </c>
      <c r="J31" s="52">
        <f t="shared" si="4"/>
        <v>5.9681697612732121E-2</v>
      </c>
      <c r="K31" s="48">
        <v>19574.64</v>
      </c>
      <c r="L31" s="52">
        <f t="shared" si="5"/>
        <v>1.0959884683895416E-2</v>
      </c>
      <c r="M31" s="1"/>
      <c r="N31" s="1"/>
      <c r="O31" s="1"/>
      <c r="P31" s="30"/>
      <c r="Q31" s="69"/>
      <c r="R31" s="133">
        <f>SUM(R10:R30)/8</f>
        <v>0.5</v>
      </c>
    </row>
    <row r="32" spans="2:18" x14ac:dyDescent="0.2">
      <c r="B32" s="46">
        <v>45505</v>
      </c>
      <c r="C32">
        <v>7.86</v>
      </c>
      <c r="D32" s="47">
        <v>5.1799999999999999E-2</v>
      </c>
      <c r="E32" s="52">
        <f t="shared" si="1"/>
        <v>-1.6270337922402955E-2</v>
      </c>
      <c r="F32" s="53">
        <f t="shared" si="2"/>
        <v>3.9736986301369863E-3</v>
      </c>
      <c r="G32" s="51">
        <f t="shared" si="3"/>
        <v>-2.0244036552539941E-2</v>
      </c>
      <c r="H32" s="1"/>
      <c r="I32" s="8">
        <f t="shared" si="0"/>
        <v>7.86</v>
      </c>
      <c r="J32" s="52">
        <f t="shared" si="4"/>
        <v>-1.6270337922402955E-2</v>
      </c>
      <c r="K32" s="48">
        <v>20060.689999999999</v>
      </c>
      <c r="L32" s="52">
        <f t="shared" si="5"/>
        <v>2.4830597139972932E-2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11.17</v>
      </c>
      <c r="D33" s="47">
        <v>4.7399999999999998E-2</v>
      </c>
      <c r="E33" s="52">
        <f t="shared" si="1"/>
        <v>0.42111959287531797</v>
      </c>
      <c r="F33" s="53">
        <f t="shared" si="2"/>
        <v>3.6361643835616433E-3</v>
      </c>
      <c r="G33" s="51">
        <f t="shared" si="3"/>
        <v>0.41748342849175635</v>
      </c>
      <c r="H33" s="1"/>
      <c r="I33" s="8">
        <f t="shared" si="0"/>
        <v>11.17</v>
      </c>
      <c r="J33" s="52">
        <f t="shared" si="4"/>
        <v>0.42111959287531797</v>
      </c>
      <c r="K33" s="48">
        <v>19890.41</v>
      </c>
      <c r="L33" s="52">
        <f t="shared" si="5"/>
        <v>-8.4882424283511115E-3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16.41</v>
      </c>
      <c r="D34" s="47">
        <v>4.58E-2</v>
      </c>
      <c r="E34" s="52">
        <f t="shared" si="1"/>
        <v>0.46911369740376019</v>
      </c>
      <c r="F34" s="53">
        <f t="shared" si="2"/>
        <v>3.5134246575342465E-3</v>
      </c>
      <c r="G34" s="51">
        <f t="shared" si="3"/>
        <v>0.46560027274622595</v>
      </c>
      <c r="H34" s="1"/>
      <c r="I34" s="8">
        <f t="shared" si="0"/>
        <v>16.41</v>
      </c>
      <c r="J34" s="52">
        <f t="shared" si="4"/>
        <v>0.46911369740376019</v>
      </c>
      <c r="K34" s="48">
        <v>20930.37</v>
      </c>
      <c r="L34" s="52">
        <f t="shared" si="5"/>
        <v>5.2284492878728939E-2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15.4</v>
      </c>
      <c r="D35" s="47">
        <v>4.5499999999999999E-2</v>
      </c>
      <c r="E35" s="52">
        <f t="shared" si="1"/>
        <v>-6.1547836684948232E-2</v>
      </c>
      <c r="F35" s="53">
        <f t="shared" si="2"/>
        <v>3.4904109589041091E-3</v>
      </c>
      <c r="G35" s="51">
        <f t="shared" si="3"/>
        <v>-6.503824764385234E-2</v>
      </c>
      <c r="H35" s="1"/>
      <c r="I35" s="8">
        <f t="shared" si="0"/>
        <v>15.4</v>
      </c>
      <c r="J35" s="52">
        <f t="shared" si="4"/>
        <v>-6.1547836684948232E-2</v>
      </c>
      <c r="K35" s="48">
        <v>21012.17</v>
      </c>
      <c r="L35" s="52">
        <f t="shared" si="5"/>
        <v>3.9081965583980249E-3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15.78</v>
      </c>
      <c r="D36" s="47">
        <v>4.2200000000000001E-2</v>
      </c>
      <c r="E36" s="52">
        <f t="shared" si="1"/>
        <v>2.4675324675324628E-2</v>
      </c>
      <c r="F36" s="53">
        <f t="shared" si="2"/>
        <v>3.2372602739726029E-3</v>
      </c>
      <c r="G36" s="51">
        <f t="shared" si="3"/>
        <v>2.1438064401352024E-2</v>
      </c>
      <c r="H36" s="1"/>
      <c r="I36" s="8">
        <f t="shared" si="0"/>
        <v>15.78</v>
      </c>
      <c r="J36" s="52">
        <f t="shared" si="4"/>
        <v>2.4675324675324628E-2</v>
      </c>
      <c r="K36" s="48">
        <v>21478.05</v>
      </c>
      <c r="L36" s="52">
        <f t="shared" si="5"/>
        <v>2.2171912753418566E-2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14.47</v>
      </c>
      <c r="D37" s="47">
        <v>4.2599999999999999E-2</v>
      </c>
      <c r="E37" s="52">
        <f t="shared" si="1"/>
        <v>-8.301647655259814E-2</v>
      </c>
      <c r="F37" s="53">
        <f t="shared" si="2"/>
        <v>3.267945205479452E-3</v>
      </c>
      <c r="G37" s="51">
        <f t="shared" si="3"/>
        <v>-8.6284421758077587E-2</v>
      </c>
      <c r="H37" s="1"/>
      <c r="I37" s="8">
        <f t="shared" si="0"/>
        <v>14.47</v>
      </c>
      <c r="J37" s="52">
        <f t="shared" si="4"/>
        <v>-8.301647655259814E-2</v>
      </c>
      <c r="K37" s="48">
        <v>20884.41</v>
      </c>
      <c r="L37" s="52">
        <f t="shared" si="5"/>
        <v>-2.7639380670032909E-2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11.63</v>
      </c>
      <c r="D38" s="47">
        <v>4.24E-2</v>
      </c>
      <c r="E38" s="52">
        <f t="shared" si="1"/>
        <v>-0.19626814098134071</v>
      </c>
      <c r="F38" s="53">
        <f t="shared" si="2"/>
        <v>3.2526027397260277E-3</v>
      </c>
      <c r="G38" s="51">
        <f t="shared" si="3"/>
        <v>-0.19952074372106673</v>
      </c>
      <c r="H38" s="1"/>
      <c r="I38" s="8">
        <f t="shared" si="0"/>
        <v>11.63</v>
      </c>
      <c r="J38" s="52">
        <f t="shared" si="4"/>
        <v>-0.19626814098134071</v>
      </c>
      <c r="K38" s="48">
        <v>19278.45</v>
      </c>
      <c r="L38" s="52">
        <f t="shared" si="5"/>
        <v>-7.6897551810177989E-2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12.51</v>
      </c>
      <c r="D39" s="47">
        <v>4.24E-2</v>
      </c>
      <c r="E39" s="52">
        <f t="shared" si="1"/>
        <v>7.5666380051590654E-2</v>
      </c>
      <c r="F39" s="53">
        <f t="shared" si="2"/>
        <v>3.2526027397260277E-3</v>
      </c>
      <c r="G39" s="51">
        <f t="shared" si="3"/>
        <v>7.241377731186463E-2</v>
      </c>
      <c r="H39" s="1"/>
      <c r="I39" s="8">
        <f t="shared" si="0"/>
        <v>12.51</v>
      </c>
      <c r="J39" s="52">
        <f t="shared" si="4"/>
        <v>7.5666380051590654E-2</v>
      </c>
      <c r="K39" s="48">
        <v>19571.02</v>
      </c>
      <c r="L39" s="52">
        <f t="shared" si="5"/>
        <v>1.51760125943734E-2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13.3</v>
      </c>
      <c r="D40" s="47">
        <v>4.2299999999999997E-2</v>
      </c>
      <c r="E40" s="52">
        <f t="shared" si="1"/>
        <v>6.3149480415667592E-2</v>
      </c>
      <c r="F40" s="53">
        <f t="shared" si="2"/>
        <v>3.2449315068493151E-3</v>
      </c>
      <c r="G40" s="51">
        <f t="shared" si="3"/>
        <v>5.9904548908818279E-2</v>
      </c>
      <c r="H40" s="1"/>
      <c r="I40" s="8">
        <f t="shared" si="0"/>
        <v>13.3</v>
      </c>
      <c r="J40" s="52">
        <f t="shared" si="4"/>
        <v>6.3149480415667592E-2</v>
      </c>
      <c r="K40" s="48">
        <v>21340.99</v>
      </c>
      <c r="L40" s="52">
        <f t="shared" si="5"/>
        <v>9.04383113399303E-2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14.09</v>
      </c>
      <c r="D41" s="47">
        <v>4.2200000000000001E-2</v>
      </c>
      <c r="E41" s="52">
        <f t="shared" si="1"/>
        <v>5.9398496240601339E-2</v>
      </c>
      <c r="F41" s="53">
        <f t="shared" si="2"/>
        <v>3.2372602739726029E-3</v>
      </c>
      <c r="G41" s="51">
        <f t="shared" si="3"/>
        <v>5.6161235966628739E-2</v>
      </c>
      <c r="H41" s="1"/>
      <c r="I41" s="8">
        <f t="shared" si="0"/>
        <v>14.09</v>
      </c>
      <c r="J41" s="52">
        <f t="shared" si="4"/>
        <v>5.9398496240601339E-2</v>
      </c>
      <c r="K41" s="48">
        <v>21913.32</v>
      </c>
      <c r="L41" s="52">
        <f t="shared" si="5"/>
        <v>2.6818343478910656E-2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3.2854363350003142E-2</v>
      </c>
      <c r="H43" s="1"/>
      <c r="I43" s="1"/>
      <c r="J43" s="1"/>
      <c r="K43" s="48" t="s">
        <v>65</v>
      </c>
      <c r="L43" s="82">
        <f>COVAR(J20:J41,L20:L41)</f>
        <v>2.5587121931178185E-3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2.111160292142152E-3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1.2119933302276846</v>
      </c>
    </row>
  </sheetData>
  <mergeCells count="1">
    <mergeCell ref="B4:D4"/>
  </mergeCells>
  <conditionalFormatting sqref="S10">
    <cfRule type="expression" dxfId="189" priority="19">
      <formula>IF($Q$10&gt;$Q$11,1,0)</formula>
    </cfRule>
  </conditionalFormatting>
  <conditionalFormatting sqref="Q10">
    <cfRule type="expression" dxfId="188" priority="10">
      <formula>IF($Q$10&lt;$Q$11,1,0)</formula>
    </cfRule>
    <cfRule type="expression" dxfId="187" priority="18">
      <formula>IF($Q$10&gt;$Q$11,1,0)</formula>
    </cfRule>
  </conditionalFormatting>
  <conditionalFormatting sqref="Q12">
    <cfRule type="expression" dxfId="186" priority="9">
      <formula>IF($Q$12&gt;$Q$13,1,0)</formula>
    </cfRule>
    <cfRule type="expression" dxfId="185" priority="17">
      <formula>IF($Q$12&lt;$Q$13,1,0)</formula>
    </cfRule>
  </conditionalFormatting>
  <conditionalFormatting sqref="Q14">
    <cfRule type="expression" dxfId="184" priority="16">
      <formula>IF($Q$15="Sell",1,0)</formula>
    </cfRule>
  </conditionalFormatting>
  <conditionalFormatting sqref="Q14:Q15">
    <cfRule type="expression" dxfId="183" priority="15">
      <formula>IF($Q$15="Buy",1,0)</formula>
    </cfRule>
  </conditionalFormatting>
  <conditionalFormatting sqref="Q16">
    <cfRule type="expression" dxfId="182" priority="13">
      <formula>IF($Q$16&lt;$Q$17,1,0)</formula>
    </cfRule>
    <cfRule type="expression" dxfId="181" priority="14">
      <formula>IF($Q$16&gt;$Q$17,1,0)</formula>
    </cfRule>
  </conditionalFormatting>
  <conditionalFormatting sqref="Q18">
    <cfRule type="expression" dxfId="180" priority="11">
      <formula>IF($Q$18&lt;$Q$19,1,0)</formula>
    </cfRule>
    <cfRule type="expression" dxfId="179" priority="12">
      <formula>IF($Q$18&gt;$Q$19,1,0)</formula>
    </cfRule>
  </conditionalFormatting>
  <conditionalFormatting sqref="Q23">
    <cfRule type="expression" dxfId="178" priority="7">
      <formula>IF($Q$23&lt;1.1,1,0)</formula>
    </cfRule>
    <cfRule type="expression" dxfId="177" priority="8">
      <formula>IF($Q$23&gt;1.1,1,0)</formula>
    </cfRule>
  </conditionalFormatting>
  <conditionalFormatting sqref="Q26">
    <cfRule type="expression" dxfId="176" priority="5">
      <formula>IF($Q$26&lt;$Q$19,1,0)</formula>
    </cfRule>
    <cfRule type="expression" dxfId="175" priority="6">
      <formula>IF($Q$26&gt;$Q$19,1,0)</formula>
    </cfRule>
  </conditionalFormatting>
  <conditionalFormatting sqref="Q30">
    <cfRule type="expression" dxfId="174" priority="3">
      <formula>IF($Q$28&lt;$Q$29,1,0)</formula>
    </cfRule>
    <cfRule type="expression" dxfId="173" priority="4">
      <formula>IF($Q$28&gt;$Q$29,1,0)</formula>
    </cfRule>
  </conditionalFormatting>
  <conditionalFormatting sqref="R31">
    <cfRule type="expression" dxfId="172" priority="1">
      <formula>IF($R$31&lt;0.485,1,0)</formula>
    </cfRule>
    <cfRule type="expression" dxfId="171" priority="2">
      <formula>IF($R$31&gt;0.49,1,0)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42224-4570-4F22-A2F2-2DADDE944DD2}">
  <sheetPr codeName="Sheet18"/>
  <dimension ref="B2:R45"/>
  <sheetViews>
    <sheetView zoomScale="85" zoomScaleNormal="85" workbookViewId="0">
      <selection activeCell="R11" sqref="R11:R30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172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173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MSTR</v>
      </c>
      <c r="R5" s="8"/>
    </row>
    <row r="6" spans="2:18" x14ac:dyDescent="0.2">
      <c r="B6" s="1" t="s">
        <v>4</v>
      </c>
      <c r="C6" s="1" t="s">
        <v>62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NASDAQ</v>
      </c>
      <c r="R6" s="8"/>
    </row>
    <row r="7" spans="2:18" x14ac:dyDescent="0.2">
      <c r="B7" s="1" t="s">
        <v>7</v>
      </c>
      <c r="C7" s="13">
        <v>45822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382.87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-16.57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-0.53</v>
      </c>
      <c r="R11" s="31">
        <f>IF(Q10&gt;Q11,0,1)</f>
        <v>1</v>
      </c>
    </row>
    <row r="12" spans="2:18" x14ac:dyDescent="0.2">
      <c r="B12" s="1" t="s">
        <v>26</v>
      </c>
      <c r="C12" s="32">
        <f>Q23</f>
        <v>3.76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-16.53</v>
      </c>
      <c r="R12" s="25"/>
    </row>
    <row r="13" spans="2:18" x14ac:dyDescent="0.2">
      <c r="B13" s="1" t="s">
        <v>30</v>
      </c>
      <c r="C13" s="26">
        <f>G43</f>
        <v>0.15693377331614336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-0.11</v>
      </c>
      <c r="R13" s="35">
        <f>IF(Q12&lt;Q13,0,1)</f>
        <v>0</v>
      </c>
    </row>
    <row r="14" spans="2:18" x14ac:dyDescent="0.2">
      <c r="B14" s="1" t="s">
        <v>32</v>
      </c>
      <c r="C14" s="36">
        <f>C11+(C12*C13)</f>
        <v>0.63077098766869899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-0.89</v>
      </c>
      <c r="R14" s="31"/>
    </row>
    <row r="15" spans="2:18" ht="19" x14ac:dyDescent="0.25">
      <c r="B15" s="1" t="s">
        <v>36</v>
      </c>
      <c r="C15" s="39">
        <f>C10*(1+C14)</f>
        <v>624.3732880487147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f>IF(Q15="Sell",0,1)</f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-24.27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35.9</v>
      </c>
      <c r="R17" s="42">
        <f>IF(Q16&lt;Q17,0,1)</f>
        <v>0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MicroStrategy Incorporated</v>
      </c>
      <c r="J18" s="34" t="s">
        <v>45</v>
      </c>
      <c r="K18" s="34" t="str">
        <f>_xlfn.CONCAT("Precio ",C6)</f>
        <v>Precio NASDAQ</v>
      </c>
      <c r="L18" s="34" t="s">
        <v>46</v>
      </c>
      <c r="M18" s="1"/>
      <c r="N18" s="21"/>
      <c r="O18" s="22"/>
      <c r="P18" s="23" t="s">
        <v>47</v>
      </c>
      <c r="Q18" s="137">
        <f>C14</f>
        <v>0.63077098766869899</v>
      </c>
      <c r="R18" s="25"/>
    </row>
    <row r="19" spans="2:18" x14ac:dyDescent="0.2">
      <c r="B19" s="46">
        <v>45108</v>
      </c>
      <c r="C19">
        <v>35.75</v>
      </c>
      <c r="D19" s="47">
        <v>5.2699999999999997E-2</v>
      </c>
      <c r="E19" s="1"/>
      <c r="F19" s="1"/>
      <c r="G19" s="1"/>
      <c r="H19" s="1"/>
      <c r="I19" s="8">
        <f>C19</f>
        <v>35.75</v>
      </c>
      <c r="J19" s="8"/>
      <c r="K19" s="48">
        <v>15501.07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32.83</v>
      </c>
      <c r="D20" s="47">
        <v>5.28E-2</v>
      </c>
      <c r="E20" s="52">
        <f>C20/C19-1</f>
        <v>-8.1678321678321675E-2</v>
      </c>
      <c r="F20" s="53">
        <f>D20/365*28</f>
        <v>4.0504109589041097E-3</v>
      </c>
      <c r="G20" s="51">
        <f>E20-F20</f>
        <v>-8.5728732637225788E-2</v>
      </c>
      <c r="H20" s="1"/>
      <c r="I20" s="8">
        <f t="shared" ref="I20:I41" si="0">C20</f>
        <v>32.83</v>
      </c>
      <c r="J20" s="52">
        <f>I20/I19-1</f>
        <v>-8.1678321678321675E-2</v>
      </c>
      <c r="K20" s="48">
        <v>14715.24</v>
      </c>
      <c r="L20" s="52">
        <f>K20/K19-1</f>
        <v>-5.0695210072595032E-2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42.34</v>
      </c>
      <c r="D21" s="47">
        <v>5.2900000000000003E-2</v>
      </c>
      <c r="E21" s="52">
        <f t="shared" ref="E21:E41" si="1">C21/C20-1</f>
        <v>0.28967407858665872</v>
      </c>
      <c r="F21" s="53">
        <f t="shared" ref="F21:F41" si="2">D21/365*28</f>
        <v>4.0580821917808214E-3</v>
      </c>
      <c r="G21" s="51">
        <f t="shared" ref="G21:G41" si="3">E21-F21</f>
        <v>0.28561599639487789</v>
      </c>
      <c r="H21" s="1"/>
      <c r="I21" s="8">
        <f t="shared" si="0"/>
        <v>42.34</v>
      </c>
      <c r="J21" s="52">
        <f t="shared" ref="J21:J41" si="4">I21/I20-1</f>
        <v>0.28967407858665872</v>
      </c>
      <c r="K21" s="48">
        <v>14409.78</v>
      </c>
      <c r="L21" s="52">
        <f t="shared" ref="L21:L41" si="5">K21/K20-1</f>
        <v>-2.0758071224118657E-2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49.83</v>
      </c>
      <c r="D22" s="47">
        <v>5.2900000000000003E-2</v>
      </c>
      <c r="E22" s="52">
        <f t="shared" si="1"/>
        <v>0.17690127538970235</v>
      </c>
      <c r="F22" s="53">
        <f t="shared" si="2"/>
        <v>4.0580821917808214E-3</v>
      </c>
      <c r="G22" s="51">
        <f t="shared" si="3"/>
        <v>0.17284319319792152</v>
      </c>
      <c r="H22" s="1"/>
      <c r="I22" s="8">
        <f t="shared" si="0"/>
        <v>49.83</v>
      </c>
      <c r="J22" s="52">
        <f t="shared" si="4"/>
        <v>0.17690127538970235</v>
      </c>
      <c r="K22" s="48">
        <v>15947.87</v>
      </c>
      <c r="L22" s="52">
        <f t="shared" si="5"/>
        <v>0.10673931177297646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C23">
        <v>63.16</v>
      </c>
      <c r="D23" s="47">
        <v>5.2900000000000003E-2</v>
      </c>
      <c r="E23" s="52">
        <f t="shared" si="1"/>
        <v>0.26750953241019459</v>
      </c>
      <c r="F23" s="53">
        <f t="shared" si="2"/>
        <v>4.0580821917808214E-3</v>
      </c>
      <c r="G23" s="51">
        <f t="shared" si="3"/>
        <v>0.26345145021841376</v>
      </c>
      <c r="H23" s="1"/>
      <c r="I23" s="8">
        <f t="shared" si="0"/>
        <v>63.16</v>
      </c>
      <c r="J23" s="52">
        <f t="shared" si="4"/>
        <v>0.26750953241019459</v>
      </c>
      <c r="K23" s="48">
        <v>16825.93</v>
      </c>
      <c r="L23" s="52">
        <f t="shared" si="5"/>
        <v>5.5058136290300874E-2</v>
      </c>
      <c r="M23" s="1"/>
      <c r="N23" s="57" t="s">
        <v>51</v>
      </c>
      <c r="O23" s="58" t="s">
        <v>52</v>
      </c>
      <c r="P23" s="59" t="s">
        <v>44</v>
      </c>
      <c r="Q23" s="128">
        <v>3.76</v>
      </c>
      <c r="R23" s="61">
        <f>IF(Q23&gt;1.1,0,1)</f>
        <v>0</v>
      </c>
    </row>
    <row r="24" spans="2:18" x14ac:dyDescent="0.2">
      <c r="B24" s="46">
        <v>45261</v>
      </c>
      <c r="C24">
        <v>50.12</v>
      </c>
      <c r="D24" s="47">
        <v>5.33E-2</v>
      </c>
      <c r="E24" s="52">
        <f t="shared" si="1"/>
        <v>-0.20645978467384418</v>
      </c>
      <c r="F24" s="53">
        <f t="shared" si="2"/>
        <v>4.0887671232876718E-3</v>
      </c>
      <c r="G24" s="51">
        <f t="shared" si="3"/>
        <v>-0.21054855179713186</v>
      </c>
      <c r="H24" s="1"/>
      <c r="I24" s="8">
        <f t="shared" si="0"/>
        <v>50.12</v>
      </c>
      <c r="J24" s="52">
        <f t="shared" si="4"/>
        <v>-0.20645978467384418</v>
      </c>
      <c r="K24" s="48">
        <v>17137.240000000002</v>
      </c>
      <c r="L24" s="52">
        <f t="shared" si="5"/>
        <v>1.8501800494831633E-2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102.28</v>
      </c>
      <c r="D25" s="47">
        <v>5.2699999999999997E-2</v>
      </c>
      <c r="E25" s="52">
        <f t="shared" si="1"/>
        <v>1.0407023144453311</v>
      </c>
      <c r="F25" s="53">
        <f t="shared" si="2"/>
        <v>4.0427397260273962E-3</v>
      </c>
      <c r="G25" s="51">
        <f t="shared" si="3"/>
        <v>1.0366595747193037</v>
      </c>
      <c r="H25" s="1"/>
      <c r="I25" s="8">
        <f t="shared" si="0"/>
        <v>102.28</v>
      </c>
      <c r="J25" s="52">
        <f t="shared" si="4"/>
        <v>1.0407023144453311</v>
      </c>
      <c r="K25" s="48">
        <v>18043.849999999999</v>
      </c>
      <c r="L25" s="52">
        <f t="shared" si="5"/>
        <v>5.2902917856084031E-2</v>
      </c>
      <c r="M25" s="1"/>
      <c r="N25" s="30"/>
      <c r="O25" s="64"/>
      <c r="P25" s="30" t="s">
        <v>23</v>
      </c>
      <c r="Q25" s="84">
        <f>Q10</f>
        <v>-16.57</v>
      </c>
      <c r="R25" s="31"/>
    </row>
    <row r="26" spans="2:18" x14ac:dyDescent="0.2">
      <c r="B26" s="46">
        <v>45323</v>
      </c>
      <c r="C26">
        <v>170.46</v>
      </c>
      <c r="D26" s="47">
        <v>5.2999999999999999E-2</v>
      </c>
      <c r="E26" s="52">
        <f t="shared" si="1"/>
        <v>0.6666014861165428</v>
      </c>
      <c r="F26" s="53">
        <f t="shared" si="2"/>
        <v>4.0657534246575349E-3</v>
      </c>
      <c r="G26" s="51">
        <f t="shared" si="3"/>
        <v>0.66253573269188526</v>
      </c>
      <c r="H26" s="1"/>
      <c r="I26" s="8">
        <f t="shared" si="0"/>
        <v>170.46</v>
      </c>
      <c r="J26" s="52">
        <f t="shared" si="4"/>
        <v>0.6666014861165428</v>
      </c>
      <c r="K26" s="48">
        <v>18254.689999999999</v>
      </c>
      <c r="L26" s="52">
        <f t="shared" si="5"/>
        <v>1.1684867697304036E-2</v>
      </c>
      <c r="M26" s="1"/>
      <c r="N26" s="49" t="s">
        <v>54</v>
      </c>
      <c r="O26" s="64"/>
      <c r="P26" s="30" t="s">
        <v>55</v>
      </c>
      <c r="Q26" s="132">
        <f>1/Q25</f>
        <v>-6.0350030175015085E-2</v>
      </c>
      <c r="R26" s="31">
        <f>IF(Q26&lt;Q19,0,1)</f>
        <v>0</v>
      </c>
    </row>
    <row r="27" spans="2:18" x14ac:dyDescent="0.2">
      <c r="B27" s="46">
        <v>45352</v>
      </c>
      <c r="C27">
        <v>106.5</v>
      </c>
      <c r="D27" s="47">
        <v>5.2900000000000003E-2</v>
      </c>
      <c r="E27" s="52">
        <f t="shared" si="1"/>
        <v>-0.37521999296022535</v>
      </c>
      <c r="F27" s="53">
        <f t="shared" si="2"/>
        <v>4.0580821917808214E-3</v>
      </c>
      <c r="G27" s="51">
        <f t="shared" si="3"/>
        <v>-0.37927807515200618</v>
      </c>
      <c r="H27" s="1"/>
      <c r="I27" s="8">
        <f t="shared" si="0"/>
        <v>106.5</v>
      </c>
      <c r="J27" s="52">
        <f t="shared" si="4"/>
        <v>-0.37521999296022535</v>
      </c>
      <c r="K27" s="48">
        <v>17440.689999999999</v>
      </c>
      <c r="L27" s="52">
        <f t="shared" si="5"/>
        <v>-4.4591280377809794E-2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152.44999999999999</v>
      </c>
      <c r="D28" s="47">
        <v>5.28E-2</v>
      </c>
      <c r="E28" s="52">
        <f t="shared" si="1"/>
        <v>0.43145539906103281</v>
      </c>
      <c r="F28" s="53">
        <f t="shared" si="2"/>
        <v>4.0504109589041097E-3</v>
      </c>
      <c r="G28" s="51">
        <f t="shared" si="3"/>
        <v>0.42740498810212868</v>
      </c>
      <c r="H28" s="1"/>
      <c r="I28" s="8">
        <f t="shared" si="0"/>
        <v>152.44999999999999</v>
      </c>
      <c r="J28" s="52">
        <f t="shared" si="4"/>
        <v>0.43145539906103281</v>
      </c>
      <c r="K28" s="48">
        <v>18536.650000000001</v>
      </c>
      <c r="L28" s="52">
        <f t="shared" si="5"/>
        <v>6.2839256933068688E-2</v>
      </c>
      <c r="M28" s="1"/>
      <c r="N28" s="30"/>
      <c r="O28" s="1"/>
      <c r="P28" s="30" t="s">
        <v>57</v>
      </c>
      <c r="Q28" s="51">
        <f>Q18</f>
        <v>0.63077098766869899</v>
      </c>
      <c r="R28" s="31"/>
    </row>
    <row r="29" spans="2:18" x14ac:dyDescent="0.2">
      <c r="B29" s="46">
        <v>45413</v>
      </c>
      <c r="C29">
        <v>137.75</v>
      </c>
      <c r="D29" s="47">
        <v>5.2699999999999997E-2</v>
      </c>
      <c r="E29" s="52">
        <f t="shared" si="1"/>
        <v>-9.6425057395867375E-2</v>
      </c>
      <c r="F29" s="53">
        <f t="shared" si="2"/>
        <v>4.0427397260273962E-3</v>
      </c>
      <c r="G29" s="51">
        <f t="shared" si="3"/>
        <v>-0.10046779712189477</v>
      </c>
      <c r="H29" s="1"/>
      <c r="I29" s="8">
        <f t="shared" si="0"/>
        <v>137.75</v>
      </c>
      <c r="J29" s="52">
        <f t="shared" si="4"/>
        <v>-9.6425057395867375E-2</v>
      </c>
      <c r="K29" s="48">
        <v>19682.87</v>
      </c>
      <c r="L29" s="52">
        <f t="shared" si="5"/>
        <v>6.1835337021522108E-2</v>
      </c>
      <c r="M29" s="1"/>
      <c r="N29" s="49" t="s">
        <v>117</v>
      </c>
      <c r="O29" s="1"/>
      <c r="P29" s="30" t="s">
        <v>58</v>
      </c>
      <c r="Q29" s="67">
        <v>-9.1899999999999996E-2</v>
      </c>
      <c r="R29" s="31"/>
    </row>
    <row r="30" spans="2:18" ht="17" thickBot="1" x14ac:dyDescent="0.25">
      <c r="B30" s="46">
        <v>45444</v>
      </c>
      <c r="C30">
        <v>161.44</v>
      </c>
      <c r="D30" s="47">
        <v>5.2699999999999997E-2</v>
      </c>
      <c r="E30" s="52">
        <f t="shared" si="1"/>
        <v>0.17197822141560803</v>
      </c>
      <c r="F30" s="53">
        <f t="shared" si="2"/>
        <v>4.0427397260273962E-3</v>
      </c>
      <c r="G30" s="51">
        <f t="shared" si="3"/>
        <v>0.16793548168958064</v>
      </c>
      <c r="I30" s="8">
        <f t="shared" si="0"/>
        <v>161.44</v>
      </c>
      <c r="J30" s="52">
        <f t="shared" si="4"/>
        <v>0.17197822141560803</v>
      </c>
      <c r="K30" s="48">
        <v>19362.43</v>
      </c>
      <c r="L30" s="52">
        <f t="shared" si="5"/>
        <v>-1.6280146137224838E-2</v>
      </c>
      <c r="M30" s="1"/>
      <c r="N30" s="1"/>
      <c r="O30" s="1"/>
      <c r="P30" s="33"/>
      <c r="Q30" s="68">
        <f>Q28-Q29</f>
        <v>0.72267098766869897</v>
      </c>
      <c r="R30" s="31">
        <f>IF(Q28&lt;Q29,0,1)</f>
        <v>1</v>
      </c>
    </row>
    <row r="31" spans="2:18" ht="17" thickBot="1" x14ac:dyDescent="0.25">
      <c r="B31" s="46">
        <v>45474</v>
      </c>
      <c r="C31">
        <v>132.41999999999999</v>
      </c>
      <c r="D31" s="47">
        <v>5.28E-2</v>
      </c>
      <c r="E31" s="52">
        <f t="shared" si="1"/>
        <v>-0.1797571853320119</v>
      </c>
      <c r="F31" s="53">
        <f t="shared" si="2"/>
        <v>4.0504109589041097E-3</v>
      </c>
      <c r="G31" s="51">
        <f t="shared" si="3"/>
        <v>-0.183807596290916</v>
      </c>
      <c r="H31" s="1"/>
      <c r="I31" s="8">
        <f t="shared" si="0"/>
        <v>132.41999999999999</v>
      </c>
      <c r="J31" s="52">
        <f t="shared" si="4"/>
        <v>-0.1797571853320119</v>
      </c>
      <c r="K31" s="48">
        <v>19574.64</v>
      </c>
      <c r="L31" s="52">
        <f t="shared" si="5"/>
        <v>1.0959884683895416E-2</v>
      </c>
      <c r="M31" s="1"/>
      <c r="N31" s="1"/>
      <c r="O31" s="1"/>
      <c r="P31" s="30"/>
      <c r="Q31" s="69"/>
      <c r="R31" s="133">
        <f>SUM(R10:R30)/8</f>
        <v>0.375</v>
      </c>
    </row>
    <row r="32" spans="2:18" x14ac:dyDescent="0.2">
      <c r="B32" s="46">
        <v>45505</v>
      </c>
      <c r="C32">
        <v>168.6</v>
      </c>
      <c r="D32" s="47">
        <v>5.1799999999999999E-2</v>
      </c>
      <c r="E32" s="52">
        <f t="shared" si="1"/>
        <v>0.27322156773901241</v>
      </c>
      <c r="F32" s="53">
        <f t="shared" si="2"/>
        <v>3.9736986301369863E-3</v>
      </c>
      <c r="G32" s="51">
        <f t="shared" si="3"/>
        <v>0.26924786910887544</v>
      </c>
      <c r="H32" s="1"/>
      <c r="I32" s="8">
        <f t="shared" si="0"/>
        <v>168.6</v>
      </c>
      <c r="J32" s="52">
        <f t="shared" si="4"/>
        <v>0.27322156773901241</v>
      </c>
      <c r="K32" s="48">
        <v>20060.689999999999</v>
      </c>
      <c r="L32" s="52">
        <f t="shared" si="5"/>
        <v>2.4830597139972932E-2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244.5</v>
      </c>
      <c r="D33" s="47">
        <v>4.7399999999999998E-2</v>
      </c>
      <c r="E33" s="52">
        <f t="shared" si="1"/>
        <v>0.45017793594306044</v>
      </c>
      <c r="F33" s="53">
        <f t="shared" si="2"/>
        <v>3.6361643835616433E-3</v>
      </c>
      <c r="G33" s="51">
        <f t="shared" si="3"/>
        <v>0.44654177155949881</v>
      </c>
      <c r="H33" s="1"/>
      <c r="I33" s="8">
        <f t="shared" si="0"/>
        <v>244.5</v>
      </c>
      <c r="J33" s="52">
        <f t="shared" si="4"/>
        <v>0.45017793594306044</v>
      </c>
      <c r="K33" s="48">
        <v>19890.41</v>
      </c>
      <c r="L33" s="52">
        <f t="shared" si="5"/>
        <v>-8.4882424283511115E-3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387.47</v>
      </c>
      <c r="D34" s="47">
        <v>4.58E-2</v>
      </c>
      <c r="E34" s="52">
        <f t="shared" si="1"/>
        <v>0.58474437627811882</v>
      </c>
      <c r="F34" s="53">
        <f t="shared" si="2"/>
        <v>3.5134246575342465E-3</v>
      </c>
      <c r="G34" s="51">
        <f t="shared" si="3"/>
        <v>0.58123095162058458</v>
      </c>
      <c r="H34" s="1"/>
      <c r="I34" s="8">
        <f t="shared" si="0"/>
        <v>387.47</v>
      </c>
      <c r="J34" s="52">
        <f t="shared" si="4"/>
        <v>0.58474437627811882</v>
      </c>
      <c r="K34" s="48">
        <v>20930.37</v>
      </c>
      <c r="L34" s="52">
        <f t="shared" si="5"/>
        <v>5.2284492878728939E-2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289.62</v>
      </c>
      <c r="D35" s="47">
        <v>4.5499999999999999E-2</v>
      </c>
      <c r="E35" s="52">
        <f t="shared" si="1"/>
        <v>-0.25253568018169148</v>
      </c>
      <c r="F35" s="53">
        <f t="shared" si="2"/>
        <v>3.4904109589041091E-3</v>
      </c>
      <c r="G35" s="51">
        <f t="shared" si="3"/>
        <v>-0.2560260911405956</v>
      </c>
      <c r="H35" s="1"/>
      <c r="I35" s="8">
        <f t="shared" si="0"/>
        <v>289.62</v>
      </c>
      <c r="J35" s="52">
        <f t="shared" si="4"/>
        <v>-0.25253568018169148</v>
      </c>
      <c r="K35" s="48">
        <v>21012.17</v>
      </c>
      <c r="L35" s="52">
        <f t="shared" si="5"/>
        <v>3.9081965583980249E-3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334.79</v>
      </c>
      <c r="D36" s="47">
        <v>4.2200000000000001E-2</v>
      </c>
      <c r="E36" s="52">
        <f t="shared" si="1"/>
        <v>0.15596298598163116</v>
      </c>
      <c r="F36" s="53">
        <f t="shared" si="2"/>
        <v>3.2372602739726029E-3</v>
      </c>
      <c r="G36" s="51">
        <f t="shared" si="3"/>
        <v>0.15272572570765855</v>
      </c>
      <c r="H36" s="1"/>
      <c r="I36" s="8">
        <f t="shared" si="0"/>
        <v>334.79</v>
      </c>
      <c r="J36" s="52">
        <f t="shared" si="4"/>
        <v>0.15596298598163116</v>
      </c>
      <c r="K36" s="48">
        <v>21478.05</v>
      </c>
      <c r="L36" s="52">
        <f t="shared" si="5"/>
        <v>2.2171912753418566E-2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255.43</v>
      </c>
      <c r="D37" s="47">
        <v>4.2599999999999999E-2</v>
      </c>
      <c r="E37" s="52">
        <f t="shared" si="1"/>
        <v>-0.23704411720780194</v>
      </c>
      <c r="F37" s="53">
        <f t="shared" si="2"/>
        <v>3.267945205479452E-3</v>
      </c>
      <c r="G37" s="51">
        <f t="shared" si="3"/>
        <v>-0.2403120624132814</v>
      </c>
      <c r="H37" s="1"/>
      <c r="I37" s="8">
        <f t="shared" si="0"/>
        <v>255.43</v>
      </c>
      <c r="J37" s="52">
        <f t="shared" si="4"/>
        <v>-0.23704411720780194</v>
      </c>
      <c r="K37" s="48">
        <v>20884.41</v>
      </c>
      <c r="L37" s="52">
        <f t="shared" si="5"/>
        <v>-2.7639380670032909E-2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288.27</v>
      </c>
      <c r="D38" s="47">
        <v>4.24E-2</v>
      </c>
      <c r="E38" s="52">
        <f t="shared" si="1"/>
        <v>0.12856751360450991</v>
      </c>
      <c r="F38" s="53">
        <f t="shared" si="2"/>
        <v>3.2526027397260277E-3</v>
      </c>
      <c r="G38" s="51">
        <f t="shared" si="3"/>
        <v>0.12531491086478388</v>
      </c>
      <c r="H38" s="1"/>
      <c r="I38" s="8">
        <f t="shared" si="0"/>
        <v>288.27</v>
      </c>
      <c r="J38" s="52">
        <f t="shared" si="4"/>
        <v>0.12856751360450991</v>
      </c>
      <c r="K38" s="48">
        <v>19278.45</v>
      </c>
      <c r="L38" s="52">
        <f t="shared" si="5"/>
        <v>-7.6897551810177989E-2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380.11</v>
      </c>
      <c r="D39" s="47">
        <v>4.24E-2</v>
      </c>
      <c r="E39" s="52">
        <f t="shared" si="1"/>
        <v>0.31859021056648285</v>
      </c>
      <c r="F39" s="53">
        <f t="shared" si="2"/>
        <v>3.2526027397260277E-3</v>
      </c>
      <c r="G39" s="51">
        <f t="shared" si="3"/>
        <v>0.31533760782675679</v>
      </c>
      <c r="H39" s="1"/>
      <c r="I39" s="8">
        <f t="shared" si="0"/>
        <v>380.11</v>
      </c>
      <c r="J39" s="52">
        <f t="shared" si="4"/>
        <v>0.31859021056648285</v>
      </c>
      <c r="K39" s="48">
        <v>19571.02</v>
      </c>
      <c r="L39" s="52">
        <f t="shared" si="5"/>
        <v>1.51760125943734E-2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369.06</v>
      </c>
      <c r="D40" s="47">
        <v>4.2299999999999997E-2</v>
      </c>
      <c r="E40" s="52">
        <f t="shared" si="1"/>
        <v>-2.9070532214359068E-2</v>
      </c>
      <c r="F40" s="53">
        <f t="shared" si="2"/>
        <v>3.2449315068493151E-3</v>
      </c>
      <c r="G40" s="51">
        <f t="shared" si="3"/>
        <v>-3.231546372120838E-2</v>
      </c>
      <c r="H40" s="1"/>
      <c r="I40" s="8">
        <f t="shared" si="0"/>
        <v>369.06</v>
      </c>
      <c r="J40" s="52">
        <f t="shared" si="4"/>
        <v>-2.9070532214359068E-2</v>
      </c>
      <c r="K40" s="48">
        <v>21340.99</v>
      </c>
      <c r="L40" s="52">
        <f t="shared" si="5"/>
        <v>9.04383113399303E-2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382.87</v>
      </c>
      <c r="D41" s="47">
        <v>4.2200000000000001E-2</v>
      </c>
      <c r="E41" s="52">
        <f t="shared" si="1"/>
        <v>3.7419389801116365E-2</v>
      </c>
      <c r="F41" s="53">
        <f t="shared" si="2"/>
        <v>3.2372602739726029E-3</v>
      </c>
      <c r="G41" s="51">
        <f t="shared" si="3"/>
        <v>3.4182129527143765E-2</v>
      </c>
      <c r="H41" s="1"/>
      <c r="I41" s="8">
        <f t="shared" si="0"/>
        <v>382.87</v>
      </c>
      <c r="J41" s="52">
        <f t="shared" si="4"/>
        <v>3.7419389801116365E-2</v>
      </c>
      <c r="K41" s="48">
        <v>21913.32</v>
      </c>
      <c r="L41" s="52">
        <f t="shared" si="5"/>
        <v>2.6818343478910656E-2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0.15693377331614336</v>
      </c>
      <c r="H43" s="1"/>
      <c r="I43" s="1"/>
      <c r="J43" s="1"/>
      <c r="K43" s="48" t="s">
        <v>65</v>
      </c>
      <c r="L43" s="82">
        <f>COVAR(J20:J41,L20:L41)</f>
        <v>4.5532320781830693E-3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2.111160292142152E-3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2.156743898192115</v>
      </c>
    </row>
  </sheetData>
  <mergeCells count="1">
    <mergeCell ref="B4:D4"/>
  </mergeCells>
  <conditionalFormatting sqref="S10">
    <cfRule type="expression" dxfId="170" priority="19">
      <formula>IF($Q$10&gt;$Q$11,1,0)</formula>
    </cfRule>
  </conditionalFormatting>
  <conditionalFormatting sqref="Q10">
    <cfRule type="expression" dxfId="169" priority="10">
      <formula>IF($Q$10&lt;$Q$11,1,0)</formula>
    </cfRule>
    <cfRule type="expression" dxfId="168" priority="18">
      <formula>IF($Q$10&gt;$Q$11,1,0)</formula>
    </cfRule>
  </conditionalFormatting>
  <conditionalFormatting sqref="Q12">
    <cfRule type="expression" dxfId="167" priority="9">
      <formula>IF($Q$12&gt;$Q$13,1,0)</formula>
    </cfRule>
    <cfRule type="expression" dxfId="166" priority="17">
      <formula>IF($Q$12&lt;$Q$13,1,0)</formula>
    </cfRule>
  </conditionalFormatting>
  <conditionalFormatting sqref="Q14">
    <cfRule type="expression" dxfId="165" priority="16">
      <formula>IF($Q$15="Sell",1,0)</formula>
    </cfRule>
  </conditionalFormatting>
  <conditionalFormatting sqref="Q14:Q15">
    <cfRule type="expression" dxfId="164" priority="15">
      <formula>IF($Q$15="Buy",1,0)</formula>
    </cfRule>
  </conditionalFormatting>
  <conditionalFormatting sqref="Q16">
    <cfRule type="expression" dxfId="163" priority="13">
      <formula>IF($Q$16&lt;$Q$17,1,0)</formula>
    </cfRule>
    <cfRule type="expression" dxfId="162" priority="14">
      <formula>IF($Q$16&gt;$Q$17,1,0)</formula>
    </cfRule>
  </conditionalFormatting>
  <conditionalFormatting sqref="Q18">
    <cfRule type="expression" dxfId="161" priority="11">
      <formula>IF($Q$18&lt;$Q$19,1,0)</formula>
    </cfRule>
    <cfRule type="expression" dxfId="160" priority="12">
      <formula>IF($Q$18&gt;$Q$19,1,0)</formula>
    </cfRule>
  </conditionalFormatting>
  <conditionalFormatting sqref="Q23">
    <cfRule type="expression" dxfId="159" priority="7">
      <formula>IF($Q$23&lt;1.1,1,0)</formula>
    </cfRule>
    <cfRule type="expression" dxfId="158" priority="8">
      <formula>IF($Q$23&gt;1.1,1,0)</formula>
    </cfRule>
  </conditionalFormatting>
  <conditionalFormatting sqref="Q26">
    <cfRule type="expression" dxfId="157" priority="5">
      <formula>IF($Q$26&lt;$Q$19,1,0)</formula>
    </cfRule>
    <cfRule type="expression" dxfId="156" priority="6">
      <formula>IF($Q$26&gt;$Q$19,1,0)</formula>
    </cfRule>
  </conditionalFormatting>
  <conditionalFormatting sqref="Q30">
    <cfRule type="expression" dxfId="155" priority="3">
      <formula>IF($Q$28&lt;$Q$29,1,0)</formula>
    </cfRule>
    <cfRule type="expression" dxfId="154" priority="4">
      <formula>IF($Q$28&gt;$Q$29,1,0)</formula>
    </cfRule>
  </conditionalFormatting>
  <conditionalFormatting sqref="R31">
    <cfRule type="expression" dxfId="153" priority="1">
      <formula>IF($R$31&lt;0.485,1,0)</formula>
    </cfRule>
    <cfRule type="expression" dxfId="152" priority="2">
      <formula>IF($R$31&gt;0.49,1,0)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82029-6B17-4A4E-876C-C3AC972503B6}">
  <sheetPr codeName="Sheet17"/>
  <dimension ref="B2:R45"/>
  <sheetViews>
    <sheetView zoomScale="85" zoomScaleNormal="85" workbookViewId="0">
      <selection activeCell="M31" sqref="M31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169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170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GOOG</v>
      </c>
      <c r="R5" s="8"/>
    </row>
    <row r="6" spans="2:18" x14ac:dyDescent="0.2">
      <c r="B6" s="1" t="s">
        <v>4</v>
      </c>
      <c r="C6" s="1" t="s">
        <v>62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NASDAQ</v>
      </c>
      <c r="R6" s="8"/>
    </row>
    <row r="7" spans="2:18" x14ac:dyDescent="0.2">
      <c r="B7" s="1" t="s">
        <v>7</v>
      </c>
      <c r="C7" s="13">
        <v>45822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175.88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19.53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-0.53</v>
      </c>
      <c r="R11" s="31">
        <f>IF(Q10&gt;Q11,0,1)</f>
        <v>0</v>
      </c>
    </row>
    <row r="12" spans="2:18" x14ac:dyDescent="0.2">
      <c r="B12" s="1" t="s">
        <v>26</v>
      </c>
      <c r="C12" s="32">
        <f>Q23</f>
        <v>1.01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2.81</v>
      </c>
      <c r="R12" s="25"/>
    </row>
    <row r="13" spans="2:18" x14ac:dyDescent="0.2">
      <c r="B13" s="1" t="s">
        <v>30</v>
      </c>
      <c r="C13" s="26">
        <f>G43</f>
        <v>9.7998752392482891E-3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2.02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5.0597873991640771E-2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0.11</v>
      </c>
      <c r="R14" s="31"/>
    </row>
    <row r="15" spans="2:18" ht="19" x14ac:dyDescent="0.25">
      <c r="B15" s="1" t="s">
        <v>36</v>
      </c>
      <c r="C15" s="39">
        <f>C10*(1+C14)</f>
        <v>184.77915407764979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f>IF(Q15="Sell",0,1)</f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32.200000000000003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35.9</v>
      </c>
      <c r="R17" s="42">
        <f>IF(Q16&lt;Q17,0,1)</f>
        <v>0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Google Class C</v>
      </c>
      <c r="J18" s="34" t="s">
        <v>45</v>
      </c>
      <c r="K18" s="34" t="str">
        <f>_xlfn.CONCAT("Precio ",C6)</f>
        <v>Precio NASDAQ</v>
      </c>
      <c r="L18" s="34" t="s">
        <v>46</v>
      </c>
      <c r="M18" s="1"/>
      <c r="N18" s="21"/>
      <c r="O18" s="22"/>
      <c r="P18" s="23" t="s">
        <v>47</v>
      </c>
      <c r="Q18" s="137">
        <f>C14</f>
        <v>5.0597873991640771E-2</v>
      </c>
      <c r="R18" s="25"/>
    </row>
    <row r="19" spans="2:18" x14ac:dyDescent="0.2">
      <c r="B19" s="46">
        <v>45108</v>
      </c>
      <c r="C19">
        <v>137.35</v>
      </c>
      <c r="D19" s="47">
        <v>5.2699999999999997E-2</v>
      </c>
      <c r="E19" s="1"/>
      <c r="F19" s="1"/>
      <c r="G19" s="1"/>
      <c r="H19" s="1"/>
      <c r="I19" s="8">
        <f>C19</f>
        <v>137.35</v>
      </c>
      <c r="J19" s="8"/>
      <c r="K19" s="48">
        <v>15501.07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131.85</v>
      </c>
      <c r="D20" s="47">
        <v>5.28E-2</v>
      </c>
      <c r="E20" s="52">
        <f>C20/C19-1</f>
        <v>-4.004368401892977E-2</v>
      </c>
      <c r="F20" s="53">
        <f>D20/365*28</f>
        <v>4.0504109589041097E-3</v>
      </c>
      <c r="G20" s="51">
        <f>E20-F20</f>
        <v>-4.4094094977833884E-2</v>
      </c>
      <c r="H20" s="1"/>
      <c r="I20" s="8">
        <f t="shared" ref="I20:I41" si="0">C20</f>
        <v>131.85</v>
      </c>
      <c r="J20" s="52">
        <f>I20/I19-1</f>
        <v>-4.004368401892977E-2</v>
      </c>
      <c r="K20" s="48">
        <v>14715.24</v>
      </c>
      <c r="L20" s="52">
        <f>K20/K19-1</f>
        <v>-5.0695210072595032E-2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125.3</v>
      </c>
      <c r="D21" s="47">
        <v>5.2900000000000003E-2</v>
      </c>
      <c r="E21" s="52">
        <f t="shared" ref="E21:E41" si="1">C21/C20-1</f>
        <v>-4.9677664012135025E-2</v>
      </c>
      <c r="F21" s="53">
        <f t="shared" ref="F21:F41" si="2">D21/365*28</f>
        <v>4.0580821917808214E-3</v>
      </c>
      <c r="G21" s="51">
        <f t="shared" ref="G21:G41" si="3">E21-F21</f>
        <v>-5.3735746203915843E-2</v>
      </c>
      <c r="H21" s="1"/>
      <c r="I21" s="8">
        <f t="shared" si="0"/>
        <v>125.3</v>
      </c>
      <c r="J21" s="52">
        <f t="shared" ref="J21:J41" si="4">I21/I20-1</f>
        <v>-4.9677664012135025E-2</v>
      </c>
      <c r="K21" s="48">
        <v>14409.78</v>
      </c>
      <c r="L21" s="52">
        <f t="shared" ref="L21:L41" si="5">K21/K20-1</f>
        <v>-2.0758071224118657E-2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133.91999999999999</v>
      </c>
      <c r="D22" s="47">
        <v>5.2900000000000003E-2</v>
      </c>
      <c r="E22" s="52">
        <f t="shared" si="1"/>
        <v>6.8794892258579265E-2</v>
      </c>
      <c r="F22" s="53">
        <f t="shared" si="2"/>
        <v>4.0580821917808214E-3</v>
      </c>
      <c r="G22" s="51">
        <f t="shared" si="3"/>
        <v>6.4736810066798448E-2</v>
      </c>
      <c r="H22" s="1"/>
      <c r="I22" s="8">
        <f t="shared" si="0"/>
        <v>133.91999999999999</v>
      </c>
      <c r="J22" s="52">
        <f t="shared" si="4"/>
        <v>6.8794892258579265E-2</v>
      </c>
      <c r="K22" s="48">
        <v>15947.87</v>
      </c>
      <c r="L22" s="52">
        <f t="shared" si="5"/>
        <v>0.10673931177297646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C23">
        <v>140.93</v>
      </c>
      <c r="D23" s="47">
        <v>5.2900000000000003E-2</v>
      </c>
      <c r="E23" s="52">
        <f t="shared" si="1"/>
        <v>5.2344683393070746E-2</v>
      </c>
      <c r="F23" s="53">
        <f t="shared" si="2"/>
        <v>4.0580821917808214E-3</v>
      </c>
      <c r="G23" s="51">
        <f t="shared" si="3"/>
        <v>4.8286601201289928E-2</v>
      </c>
      <c r="H23" s="1"/>
      <c r="I23" s="8">
        <f t="shared" si="0"/>
        <v>140.93</v>
      </c>
      <c r="J23" s="52">
        <f t="shared" si="4"/>
        <v>5.2344683393070746E-2</v>
      </c>
      <c r="K23" s="48">
        <v>16825.93</v>
      </c>
      <c r="L23" s="52">
        <f t="shared" si="5"/>
        <v>5.5058136290300874E-2</v>
      </c>
      <c r="M23" s="1"/>
      <c r="N23" s="57" t="s">
        <v>51</v>
      </c>
      <c r="O23" s="58" t="s">
        <v>52</v>
      </c>
      <c r="P23" s="59" t="s">
        <v>44</v>
      </c>
      <c r="Q23" s="128">
        <v>1.01</v>
      </c>
      <c r="R23" s="61">
        <f>IF(Q23&gt;1.1,0,1)</f>
        <v>1</v>
      </c>
    </row>
    <row r="24" spans="2:18" x14ac:dyDescent="0.2">
      <c r="B24" s="46">
        <v>45261</v>
      </c>
      <c r="C24">
        <v>141.80000000000001</v>
      </c>
      <c r="D24" s="47">
        <v>5.33E-2</v>
      </c>
      <c r="E24" s="52">
        <f t="shared" si="1"/>
        <v>6.1732775136593698E-3</v>
      </c>
      <c r="F24" s="53">
        <f t="shared" si="2"/>
        <v>4.0887671232876718E-3</v>
      </c>
      <c r="G24" s="51">
        <f t="shared" si="3"/>
        <v>2.084510390371698E-3</v>
      </c>
      <c r="H24" s="1"/>
      <c r="I24" s="8">
        <f t="shared" si="0"/>
        <v>141.80000000000001</v>
      </c>
      <c r="J24" s="52">
        <f t="shared" si="4"/>
        <v>6.1732775136593698E-3</v>
      </c>
      <c r="K24" s="48">
        <v>17137.240000000002</v>
      </c>
      <c r="L24" s="52">
        <f t="shared" si="5"/>
        <v>1.8501800494831633E-2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139.78</v>
      </c>
      <c r="D25" s="47">
        <v>5.2699999999999997E-2</v>
      </c>
      <c r="E25" s="52">
        <f t="shared" si="1"/>
        <v>-1.4245416078984552E-2</v>
      </c>
      <c r="F25" s="53">
        <f t="shared" si="2"/>
        <v>4.0427397260273962E-3</v>
      </c>
      <c r="G25" s="51">
        <f t="shared" si="3"/>
        <v>-1.8288155805011946E-2</v>
      </c>
      <c r="H25" s="1"/>
      <c r="I25" s="8">
        <f t="shared" si="0"/>
        <v>139.78</v>
      </c>
      <c r="J25" s="52">
        <f t="shared" si="4"/>
        <v>-1.4245416078984552E-2</v>
      </c>
      <c r="K25" s="48">
        <v>18043.849999999999</v>
      </c>
      <c r="L25" s="52">
        <f t="shared" si="5"/>
        <v>5.2902917856084031E-2</v>
      </c>
      <c r="M25" s="1"/>
      <c r="N25" s="30"/>
      <c r="O25" s="64"/>
      <c r="P25" s="30" t="s">
        <v>23</v>
      </c>
      <c r="Q25" s="84">
        <f>Q10</f>
        <v>19.53</v>
      </c>
      <c r="R25" s="31"/>
    </row>
    <row r="26" spans="2:18" x14ac:dyDescent="0.2">
      <c r="B26" s="46">
        <v>45323</v>
      </c>
      <c r="C26">
        <v>152.26</v>
      </c>
      <c r="D26" s="47">
        <v>5.2999999999999999E-2</v>
      </c>
      <c r="E26" s="52">
        <f t="shared" si="1"/>
        <v>8.9283159250250321E-2</v>
      </c>
      <c r="F26" s="53">
        <f t="shared" si="2"/>
        <v>4.0657534246575349E-3</v>
      </c>
      <c r="G26" s="51">
        <f t="shared" si="3"/>
        <v>8.5217405825592785E-2</v>
      </c>
      <c r="H26" s="1"/>
      <c r="I26" s="8">
        <f t="shared" si="0"/>
        <v>152.26</v>
      </c>
      <c r="J26" s="52">
        <f t="shared" si="4"/>
        <v>8.9283159250250321E-2</v>
      </c>
      <c r="K26" s="48">
        <v>18254.689999999999</v>
      </c>
      <c r="L26" s="52">
        <f t="shared" si="5"/>
        <v>1.1684867697304036E-2</v>
      </c>
      <c r="M26" s="1"/>
      <c r="N26" s="49" t="s">
        <v>54</v>
      </c>
      <c r="O26" s="64"/>
      <c r="P26" s="30" t="s">
        <v>55</v>
      </c>
      <c r="Q26" s="132">
        <f>1/Q25</f>
        <v>5.1203277009728619E-2</v>
      </c>
      <c r="R26" s="31">
        <f>IF(Q26&lt;Q19,0,1)</f>
        <v>1</v>
      </c>
    </row>
    <row r="27" spans="2:18" x14ac:dyDescent="0.2">
      <c r="B27" s="46">
        <v>45352</v>
      </c>
      <c r="C27">
        <v>164.64</v>
      </c>
      <c r="D27" s="47">
        <v>5.2900000000000003E-2</v>
      </c>
      <c r="E27" s="52">
        <f t="shared" si="1"/>
        <v>8.1308288453960209E-2</v>
      </c>
      <c r="F27" s="53">
        <f t="shared" si="2"/>
        <v>4.0580821917808214E-3</v>
      </c>
      <c r="G27" s="51">
        <f t="shared" si="3"/>
        <v>7.7250206262179391E-2</v>
      </c>
      <c r="H27" s="1"/>
      <c r="I27" s="8">
        <f t="shared" si="0"/>
        <v>164.64</v>
      </c>
      <c r="J27" s="52">
        <f t="shared" si="4"/>
        <v>8.1308288453960209E-2</v>
      </c>
      <c r="K27" s="48">
        <v>17440.689999999999</v>
      </c>
      <c r="L27" s="52">
        <f t="shared" si="5"/>
        <v>-4.4591280377809794E-2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173.96</v>
      </c>
      <c r="D28" s="47">
        <v>5.28E-2</v>
      </c>
      <c r="E28" s="52">
        <f t="shared" si="1"/>
        <v>5.6608357628765926E-2</v>
      </c>
      <c r="F28" s="53">
        <f t="shared" si="2"/>
        <v>4.0504109589041097E-3</v>
      </c>
      <c r="G28" s="51">
        <f t="shared" si="3"/>
        <v>5.2557946669861813E-2</v>
      </c>
      <c r="H28" s="1"/>
      <c r="I28" s="8">
        <f t="shared" si="0"/>
        <v>173.96</v>
      </c>
      <c r="J28" s="52">
        <f t="shared" si="4"/>
        <v>5.6608357628765926E-2</v>
      </c>
      <c r="K28" s="48">
        <v>18536.650000000001</v>
      </c>
      <c r="L28" s="52">
        <f t="shared" si="5"/>
        <v>6.2839256933068688E-2</v>
      </c>
      <c r="M28" s="1"/>
      <c r="N28" s="30"/>
      <c r="O28" s="1"/>
      <c r="P28" s="30" t="s">
        <v>57</v>
      </c>
      <c r="Q28" s="51">
        <f>Q18</f>
        <v>5.0597873991640771E-2</v>
      </c>
      <c r="R28" s="31"/>
    </row>
    <row r="29" spans="2:18" x14ac:dyDescent="0.2">
      <c r="B29" s="46">
        <v>45413</v>
      </c>
      <c r="C29">
        <v>183.42</v>
      </c>
      <c r="D29" s="47">
        <v>5.2699999999999997E-2</v>
      </c>
      <c r="E29" s="52">
        <f t="shared" si="1"/>
        <v>5.4380317314324911E-2</v>
      </c>
      <c r="F29" s="53">
        <f t="shared" si="2"/>
        <v>4.0427397260273962E-3</v>
      </c>
      <c r="G29" s="51">
        <f t="shared" si="3"/>
        <v>5.0337577588297516E-2</v>
      </c>
      <c r="H29" s="1"/>
      <c r="I29" s="8">
        <f t="shared" si="0"/>
        <v>183.42</v>
      </c>
      <c r="J29" s="52">
        <f t="shared" si="4"/>
        <v>5.4380317314324911E-2</v>
      </c>
      <c r="K29" s="48">
        <v>19682.87</v>
      </c>
      <c r="L29" s="52">
        <f t="shared" si="5"/>
        <v>6.1835337021522108E-2</v>
      </c>
      <c r="M29" s="1"/>
      <c r="N29" s="49" t="s">
        <v>117</v>
      </c>
      <c r="O29" s="1"/>
      <c r="P29" s="30" t="s">
        <v>58</v>
      </c>
      <c r="Q29" s="67">
        <v>9.3200000000000005E-2</v>
      </c>
      <c r="R29" s="31"/>
    </row>
    <row r="30" spans="2:18" ht="17" thickBot="1" x14ac:dyDescent="0.25">
      <c r="B30" s="46">
        <v>45444</v>
      </c>
      <c r="C30">
        <v>173.15</v>
      </c>
      <c r="D30" s="47">
        <v>5.2699999999999997E-2</v>
      </c>
      <c r="E30" s="52">
        <f t="shared" si="1"/>
        <v>-5.5991713008395894E-2</v>
      </c>
      <c r="F30" s="53">
        <f t="shared" si="2"/>
        <v>4.0427397260273962E-3</v>
      </c>
      <c r="G30" s="51">
        <f t="shared" si="3"/>
        <v>-6.0034452734423288E-2</v>
      </c>
      <c r="I30" s="8">
        <f t="shared" si="0"/>
        <v>173.15</v>
      </c>
      <c r="J30" s="52">
        <f t="shared" si="4"/>
        <v>-5.5991713008395894E-2</v>
      </c>
      <c r="K30" s="48">
        <v>19362.43</v>
      </c>
      <c r="L30" s="52">
        <f t="shared" si="5"/>
        <v>-1.6280146137224838E-2</v>
      </c>
      <c r="M30" s="1"/>
      <c r="N30" s="1"/>
      <c r="O30" s="1"/>
      <c r="P30" s="33"/>
      <c r="Q30" s="68">
        <f>Q28-Q29</f>
        <v>-4.2602126008359234E-2</v>
      </c>
      <c r="R30" s="31">
        <f>IF(Q28&lt;Q29,0,1)</f>
        <v>0</v>
      </c>
    </row>
    <row r="31" spans="2:18" ht="17" thickBot="1" x14ac:dyDescent="0.25">
      <c r="B31" s="46">
        <v>45474</v>
      </c>
      <c r="C31">
        <v>165.11</v>
      </c>
      <c r="D31" s="47">
        <v>5.28E-2</v>
      </c>
      <c r="E31" s="52">
        <f t="shared" si="1"/>
        <v>-4.6433727981518902E-2</v>
      </c>
      <c r="F31" s="53">
        <f t="shared" si="2"/>
        <v>4.0504109589041097E-3</v>
      </c>
      <c r="G31" s="51">
        <f t="shared" si="3"/>
        <v>-5.0484138940423015E-2</v>
      </c>
      <c r="H31" s="1"/>
      <c r="I31" s="8">
        <f t="shared" si="0"/>
        <v>165.11</v>
      </c>
      <c r="J31" s="52">
        <f t="shared" si="4"/>
        <v>-4.6433727981518902E-2</v>
      </c>
      <c r="K31" s="48">
        <v>19574.64</v>
      </c>
      <c r="L31" s="52">
        <f t="shared" si="5"/>
        <v>1.0959884683895416E-2</v>
      </c>
      <c r="M31" s="1"/>
      <c r="N31" s="1"/>
      <c r="O31" s="1"/>
      <c r="P31" s="30"/>
      <c r="Q31" s="69"/>
      <c r="R31" s="133">
        <f>SUM(R10:R30)/8</f>
        <v>0.5</v>
      </c>
    </row>
    <row r="32" spans="2:18" x14ac:dyDescent="0.2">
      <c r="B32" s="46">
        <v>45505</v>
      </c>
      <c r="C32">
        <v>167.19</v>
      </c>
      <c r="D32" s="47">
        <v>5.1799999999999999E-2</v>
      </c>
      <c r="E32" s="52">
        <f t="shared" si="1"/>
        <v>1.2597662164617329E-2</v>
      </c>
      <c r="F32" s="53">
        <f t="shared" si="2"/>
        <v>3.9736986301369863E-3</v>
      </c>
      <c r="G32" s="51">
        <f t="shared" si="3"/>
        <v>8.6239635344803438E-3</v>
      </c>
      <c r="H32" s="1"/>
      <c r="I32" s="8">
        <f t="shared" si="0"/>
        <v>167.19</v>
      </c>
      <c r="J32" s="52">
        <f t="shared" si="4"/>
        <v>1.2597662164617329E-2</v>
      </c>
      <c r="K32" s="48">
        <v>20060.689999999999</v>
      </c>
      <c r="L32" s="52">
        <f t="shared" si="5"/>
        <v>2.4830597139972932E-2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172.69</v>
      </c>
      <c r="D33" s="47">
        <v>4.7399999999999998E-2</v>
      </c>
      <c r="E33" s="52">
        <f t="shared" si="1"/>
        <v>3.2896704348346129E-2</v>
      </c>
      <c r="F33" s="53">
        <f t="shared" si="2"/>
        <v>3.6361643835616433E-3</v>
      </c>
      <c r="G33" s="51">
        <f t="shared" si="3"/>
        <v>2.9260539964784484E-2</v>
      </c>
      <c r="H33" s="1"/>
      <c r="I33" s="8">
        <f t="shared" si="0"/>
        <v>172.69</v>
      </c>
      <c r="J33" s="52">
        <f t="shared" si="4"/>
        <v>3.2896704348346129E-2</v>
      </c>
      <c r="K33" s="48">
        <v>19890.41</v>
      </c>
      <c r="L33" s="52">
        <f t="shared" si="5"/>
        <v>-8.4882424283511115E-3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170.49</v>
      </c>
      <c r="D34" s="47">
        <v>4.58E-2</v>
      </c>
      <c r="E34" s="52">
        <f t="shared" si="1"/>
        <v>-1.2739591174937726E-2</v>
      </c>
      <c r="F34" s="53">
        <f t="shared" si="2"/>
        <v>3.5134246575342465E-3</v>
      </c>
      <c r="G34" s="51">
        <f t="shared" si="3"/>
        <v>-1.6253015832471972E-2</v>
      </c>
      <c r="H34" s="1"/>
      <c r="I34" s="8">
        <f t="shared" si="0"/>
        <v>170.49</v>
      </c>
      <c r="J34" s="52">
        <f t="shared" si="4"/>
        <v>-1.2739591174937726E-2</v>
      </c>
      <c r="K34" s="48">
        <v>20930.37</v>
      </c>
      <c r="L34" s="52">
        <f t="shared" si="5"/>
        <v>5.2284492878728939E-2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190.44</v>
      </c>
      <c r="D35" s="47">
        <v>4.5499999999999999E-2</v>
      </c>
      <c r="E35" s="52">
        <f t="shared" si="1"/>
        <v>0.11701566074256542</v>
      </c>
      <c r="F35" s="53">
        <f t="shared" si="2"/>
        <v>3.4904109589041091E-3</v>
      </c>
      <c r="G35" s="51">
        <f t="shared" si="3"/>
        <v>0.11352524978366131</v>
      </c>
      <c r="H35" s="1"/>
      <c r="I35" s="8">
        <f t="shared" si="0"/>
        <v>190.44</v>
      </c>
      <c r="J35" s="52">
        <f t="shared" si="4"/>
        <v>0.11701566074256542</v>
      </c>
      <c r="K35" s="48">
        <v>21012.17</v>
      </c>
      <c r="L35" s="52">
        <f t="shared" si="5"/>
        <v>3.9081965583980249E-3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205.6</v>
      </c>
      <c r="D36" s="47">
        <v>4.2200000000000001E-2</v>
      </c>
      <c r="E36" s="52">
        <f t="shared" si="1"/>
        <v>7.9605124973745056E-2</v>
      </c>
      <c r="F36" s="53">
        <f t="shared" si="2"/>
        <v>3.2372602739726029E-3</v>
      </c>
      <c r="G36" s="51">
        <f t="shared" si="3"/>
        <v>7.6367864699772456E-2</v>
      </c>
      <c r="H36" s="1"/>
      <c r="I36" s="8">
        <f t="shared" si="0"/>
        <v>205.6</v>
      </c>
      <c r="J36" s="52">
        <f t="shared" si="4"/>
        <v>7.9605124973745056E-2</v>
      </c>
      <c r="K36" s="48">
        <v>21478.05</v>
      </c>
      <c r="L36" s="52">
        <f t="shared" si="5"/>
        <v>2.2171912753418566E-2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172.22</v>
      </c>
      <c r="D37" s="47">
        <v>4.2599999999999999E-2</v>
      </c>
      <c r="E37" s="52">
        <f t="shared" si="1"/>
        <v>-0.16235408560311282</v>
      </c>
      <c r="F37" s="53">
        <f t="shared" si="2"/>
        <v>3.267945205479452E-3</v>
      </c>
      <c r="G37" s="51">
        <f t="shared" si="3"/>
        <v>-0.16562203080859228</v>
      </c>
      <c r="H37" s="1"/>
      <c r="I37" s="8">
        <f t="shared" si="0"/>
        <v>172.22</v>
      </c>
      <c r="J37" s="52">
        <f t="shared" si="4"/>
        <v>-0.16235408560311282</v>
      </c>
      <c r="K37" s="48">
        <v>20884.41</v>
      </c>
      <c r="L37" s="52">
        <f t="shared" si="5"/>
        <v>-2.7639380670032909E-2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156.22999999999999</v>
      </c>
      <c r="D38" s="47">
        <v>4.24E-2</v>
      </c>
      <c r="E38" s="52">
        <f t="shared" si="1"/>
        <v>-9.2846359307862114E-2</v>
      </c>
      <c r="F38" s="53">
        <f t="shared" si="2"/>
        <v>3.2526027397260277E-3</v>
      </c>
      <c r="G38" s="51">
        <f t="shared" si="3"/>
        <v>-9.6098962047588138E-2</v>
      </c>
      <c r="H38" s="1"/>
      <c r="I38" s="8">
        <f t="shared" si="0"/>
        <v>156.22999999999999</v>
      </c>
      <c r="J38" s="52">
        <f t="shared" si="4"/>
        <v>-9.2846359307862114E-2</v>
      </c>
      <c r="K38" s="48">
        <v>19278.45</v>
      </c>
      <c r="L38" s="52">
        <f t="shared" si="5"/>
        <v>-7.6897551810177989E-2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160.88999999999999</v>
      </c>
      <c r="D39" s="47">
        <v>4.24E-2</v>
      </c>
      <c r="E39" s="52">
        <f t="shared" si="1"/>
        <v>2.9827817960698999E-2</v>
      </c>
      <c r="F39" s="53">
        <f t="shared" si="2"/>
        <v>3.2526027397260277E-3</v>
      </c>
      <c r="G39" s="51">
        <f t="shared" si="3"/>
        <v>2.6575215220972972E-2</v>
      </c>
      <c r="H39" s="1"/>
      <c r="I39" s="8">
        <f t="shared" si="0"/>
        <v>160.88999999999999</v>
      </c>
      <c r="J39" s="52">
        <f t="shared" si="4"/>
        <v>2.9827817960698999E-2</v>
      </c>
      <c r="K39" s="48">
        <v>19571.02</v>
      </c>
      <c r="L39" s="52">
        <f t="shared" si="5"/>
        <v>1.51760125943734E-2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172.85</v>
      </c>
      <c r="D40" s="47">
        <v>4.2299999999999997E-2</v>
      </c>
      <c r="E40" s="52">
        <f t="shared" si="1"/>
        <v>7.433650320094487E-2</v>
      </c>
      <c r="F40" s="53">
        <f t="shared" si="2"/>
        <v>3.2449315068493151E-3</v>
      </c>
      <c r="G40" s="51">
        <f t="shared" si="3"/>
        <v>7.1091571694095551E-2</v>
      </c>
      <c r="H40" s="1"/>
      <c r="I40" s="8">
        <f t="shared" si="0"/>
        <v>172.85</v>
      </c>
      <c r="J40" s="52">
        <f t="shared" si="4"/>
        <v>7.433650320094487E-2</v>
      </c>
      <c r="K40" s="48">
        <v>21340.99</v>
      </c>
      <c r="L40" s="52">
        <f t="shared" si="5"/>
        <v>9.04383113399303E-2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175.88</v>
      </c>
      <c r="D41" s="47">
        <v>4.2200000000000001E-2</v>
      </c>
      <c r="E41" s="52">
        <f t="shared" si="1"/>
        <v>1.7529649985536633E-2</v>
      </c>
      <c r="F41" s="53">
        <f t="shared" si="2"/>
        <v>3.2372602739726029E-3</v>
      </c>
      <c r="G41" s="51">
        <f t="shared" si="3"/>
        <v>1.4292389711564029E-2</v>
      </c>
      <c r="H41" s="1"/>
      <c r="I41" s="8">
        <f t="shared" si="0"/>
        <v>175.88</v>
      </c>
      <c r="J41" s="52">
        <f t="shared" si="4"/>
        <v>1.7529649985536633E-2</v>
      </c>
      <c r="K41" s="48">
        <v>21913.32</v>
      </c>
      <c r="L41" s="52">
        <f t="shared" si="5"/>
        <v>2.6818343478910656E-2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9.7998752392482891E-3</v>
      </c>
      <c r="H43" s="1"/>
      <c r="I43" s="1"/>
      <c r="J43" s="1"/>
      <c r="K43" s="48" t="s">
        <v>65</v>
      </c>
      <c r="L43" s="82">
        <f>COVAR(J20:J41,L20:L41)</f>
        <v>1.5100303674171734E-3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2.111160292142152E-3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0.71526087954457307</v>
      </c>
    </row>
  </sheetData>
  <mergeCells count="1">
    <mergeCell ref="B4:D4"/>
  </mergeCells>
  <conditionalFormatting sqref="S10">
    <cfRule type="expression" dxfId="151" priority="19">
      <formula>IF($Q$10&gt;$Q$11,1,0)</formula>
    </cfRule>
  </conditionalFormatting>
  <conditionalFormatting sqref="Q10">
    <cfRule type="expression" dxfId="150" priority="10">
      <formula>IF($Q$10&lt;$Q$11,1,0)</formula>
    </cfRule>
    <cfRule type="expression" dxfId="149" priority="18">
      <formula>IF($Q$10&gt;$Q$11,1,0)</formula>
    </cfRule>
  </conditionalFormatting>
  <conditionalFormatting sqref="Q12">
    <cfRule type="expression" dxfId="148" priority="9">
      <formula>IF($Q$12&gt;$Q$13,1,0)</formula>
    </cfRule>
    <cfRule type="expression" dxfId="147" priority="17">
      <formula>IF($Q$12&lt;$Q$13,1,0)</formula>
    </cfRule>
  </conditionalFormatting>
  <conditionalFormatting sqref="Q14">
    <cfRule type="expression" dxfId="146" priority="16">
      <formula>IF($Q$15="Sell",1,0)</formula>
    </cfRule>
  </conditionalFormatting>
  <conditionalFormatting sqref="Q14:Q15">
    <cfRule type="expression" dxfId="145" priority="15">
      <formula>IF($Q$15="Buy",1,0)</formula>
    </cfRule>
  </conditionalFormatting>
  <conditionalFormatting sqref="Q16">
    <cfRule type="expression" dxfId="144" priority="13">
      <formula>IF($Q$16&lt;$Q$17,1,0)</formula>
    </cfRule>
    <cfRule type="expression" dxfId="143" priority="14">
      <formula>IF($Q$16&gt;$Q$17,1,0)</formula>
    </cfRule>
  </conditionalFormatting>
  <conditionalFormatting sqref="Q18">
    <cfRule type="expression" dxfId="142" priority="11">
      <formula>IF($Q$18&lt;$Q$19,1,0)</formula>
    </cfRule>
    <cfRule type="expression" dxfId="141" priority="12">
      <formula>IF($Q$18&gt;$Q$19,1,0)</formula>
    </cfRule>
  </conditionalFormatting>
  <conditionalFormatting sqref="Q23">
    <cfRule type="expression" dxfId="140" priority="7">
      <formula>IF($Q$23&lt;1.1,1,0)</formula>
    </cfRule>
    <cfRule type="expression" dxfId="139" priority="8">
      <formula>IF($Q$23&gt;1.1,1,0)</formula>
    </cfRule>
  </conditionalFormatting>
  <conditionalFormatting sqref="Q26">
    <cfRule type="expression" dxfId="138" priority="5">
      <formula>IF($Q$26&lt;$Q$19,1,0)</formula>
    </cfRule>
    <cfRule type="expression" dxfId="137" priority="6">
      <formula>IF($Q$26&gt;$Q$19,1,0)</formula>
    </cfRule>
  </conditionalFormatting>
  <conditionalFormatting sqref="Q30">
    <cfRule type="expression" dxfId="136" priority="3">
      <formula>IF($Q$28&lt;$Q$29,1,0)</formula>
    </cfRule>
    <cfRule type="expression" dxfId="135" priority="4">
      <formula>IF($Q$28&gt;$Q$29,1,0)</formula>
    </cfRule>
  </conditionalFormatting>
  <conditionalFormatting sqref="R31">
    <cfRule type="expression" dxfId="134" priority="1">
      <formula>IF($R$31&lt;0.485,1,0)</formula>
    </cfRule>
    <cfRule type="expression" dxfId="133" priority="2">
      <formula>IF($R$31&gt;0.49,1,0)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CAB56-73CE-46F1-AF67-01B75D0BA191}">
  <sheetPr codeName="Sheet6"/>
  <dimension ref="B2:R45"/>
  <sheetViews>
    <sheetView zoomScale="85" zoomScaleNormal="85" workbookViewId="0">
      <selection activeCell="M32" sqref="M32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4.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119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120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PLTR</v>
      </c>
      <c r="R5" s="8"/>
    </row>
    <row r="6" spans="2:18" x14ac:dyDescent="0.2">
      <c r="B6" s="1" t="s">
        <v>4</v>
      </c>
      <c r="C6" s="1" t="s">
        <v>62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NASDAQ</v>
      </c>
      <c r="R6" s="8"/>
    </row>
    <row r="7" spans="2:18" x14ac:dyDescent="0.2">
      <c r="B7" s="1" t="s">
        <v>7</v>
      </c>
      <c r="C7" s="13">
        <v>45821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138.25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553.36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-0.53</v>
      </c>
      <c r="R11" s="31">
        <f>IF(Q10&gt;Q11,0,1)</f>
        <v>0</v>
      </c>
    </row>
    <row r="12" spans="2:18" x14ac:dyDescent="0.2">
      <c r="B12" s="1" t="s">
        <v>26</v>
      </c>
      <c r="C12" s="32">
        <v>2.64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0.13</v>
      </c>
      <c r="R12" s="25"/>
    </row>
    <row r="13" spans="2:18" x14ac:dyDescent="0.2">
      <c r="B13" s="1" t="s">
        <v>30</v>
      </c>
      <c r="C13" s="26">
        <f>G43</f>
        <v>0.11770998507767984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0.13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0.35145436060507479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1.84</v>
      </c>
      <c r="R14" s="31"/>
    </row>
    <row r="15" spans="2:18" ht="19" x14ac:dyDescent="0.25">
      <c r="B15" s="1" t="s">
        <v>36</v>
      </c>
      <c r="C15" s="39">
        <f>C10*(1+C14)</f>
        <v>186.8385653536516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118</v>
      </c>
      <c r="R15" s="35">
        <f>IF(Q15="Sell",0,1)</f>
        <v>1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336.57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35.9</v>
      </c>
      <c r="R17" s="42">
        <f>IF(Q16&lt;Q17,0,1)</f>
        <v>1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PALANTIR</v>
      </c>
      <c r="J18" s="34" t="s">
        <v>45</v>
      </c>
      <c r="K18" s="34" t="s">
        <v>64</v>
      </c>
      <c r="L18" s="34" t="s">
        <v>46</v>
      </c>
      <c r="M18" s="1"/>
      <c r="N18" s="21"/>
      <c r="O18" s="22"/>
      <c r="P18" s="23" t="s">
        <v>47</v>
      </c>
      <c r="Q18" s="137">
        <f>C14</f>
        <v>0.35145436060507479</v>
      </c>
      <c r="R18" s="25"/>
    </row>
    <row r="19" spans="2:18" x14ac:dyDescent="0.2">
      <c r="B19" s="46">
        <v>45108</v>
      </c>
      <c r="C19">
        <v>14.98</v>
      </c>
      <c r="D19" s="47">
        <v>5.2699999999999997E-2</v>
      </c>
      <c r="E19" s="1"/>
      <c r="F19" s="1"/>
      <c r="G19" s="1"/>
      <c r="H19" s="1"/>
      <c r="I19" s="8">
        <f>C19</f>
        <v>14.98</v>
      </c>
      <c r="J19" s="8"/>
      <c r="K19" s="48">
        <v>15501.07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16</v>
      </c>
      <c r="D20" s="47">
        <v>5.28E-2</v>
      </c>
      <c r="E20" s="52">
        <f>C20/C19-1</f>
        <v>6.809078771695587E-2</v>
      </c>
      <c r="F20" s="53">
        <f>D20/365*28</f>
        <v>4.0504109589041097E-3</v>
      </c>
      <c r="G20" s="51">
        <f>E20-F20</f>
        <v>6.4040376758051756E-2</v>
      </c>
      <c r="H20" s="1"/>
      <c r="I20" s="8">
        <f t="shared" ref="I20:I41" si="0">C20</f>
        <v>16</v>
      </c>
      <c r="J20" s="52">
        <f>I20/I19-1</f>
        <v>6.809078771695587E-2</v>
      </c>
      <c r="K20" s="48">
        <v>14715.24</v>
      </c>
      <c r="L20" s="52">
        <f>K20/K19-1</f>
        <v>-5.0695210072595032E-2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14.8</v>
      </c>
      <c r="D21" s="47">
        <v>5.2900000000000003E-2</v>
      </c>
      <c r="E21" s="52">
        <f t="shared" ref="E21:E41" si="1">C21/C20-1</f>
        <v>-7.4999999999999956E-2</v>
      </c>
      <c r="F21" s="53">
        <f t="shared" ref="F21:F41" si="2">D21/365*28</f>
        <v>4.0580821917808214E-3</v>
      </c>
      <c r="G21" s="51">
        <f t="shared" ref="G21:G41" si="3">E21-F21</f>
        <v>-7.9058082191780774E-2</v>
      </c>
      <c r="H21" s="1"/>
      <c r="I21" s="8">
        <f t="shared" si="0"/>
        <v>14.8</v>
      </c>
      <c r="J21" s="52">
        <f t="shared" ref="J21:J41" si="4">I21/I20-1</f>
        <v>-7.4999999999999956E-2</v>
      </c>
      <c r="K21" s="48">
        <v>14409.78</v>
      </c>
      <c r="L21" s="52">
        <f t="shared" ref="L21:L41" si="5">K21/K20-1</f>
        <v>-2.0758071224118657E-2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20.05</v>
      </c>
      <c r="D22" s="47">
        <v>5.2900000000000003E-2</v>
      </c>
      <c r="E22" s="52">
        <f t="shared" si="1"/>
        <v>0.3547297297297296</v>
      </c>
      <c r="F22" s="53">
        <f t="shared" si="2"/>
        <v>4.0580821917808214E-3</v>
      </c>
      <c r="G22" s="51">
        <f t="shared" si="3"/>
        <v>0.35067164753794877</v>
      </c>
      <c r="H22" s="1"/>
      <c r="I22" s="8">
        <f t="shared" si="0"/>
        <v>20.05</v>
      </c>
      <c r="J22" s="52">
        <f t="shared" si="4"/>
        <v>0.3547297297297296</v>
      </c>
      <c r="K22" s="48">
        <v>15947.87</v>
      </c>
      <c r="L22" s="52">
        <f t="shared" si="5"/>
        <v>0.10673931177297646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C23">
        <v>17.170000000000002</v>
      </c>
      <c r="D23" s="47">
        <v>5.2900000000000003E-2</v>
      </c>
      <c r="E23" s="52">
        <f t="shared" si="1"/>
        <v>-0.14364089775561095</v>
      </c>
      <c r="F23" s="53">
        <f t="shared" si="2"/>
        <v>4.0580821917808214E-3</v>
      </c>
      <c r="G23" s="51">
        <f t="shared" si="3"/>
        <v>-0.14769897994739178</v>
      </c>
      <c r="H23" s="1"/>
      <c r="I23" s="8">
        <f t="shared" si="0"/>
        <v>17.170000000000002</v>
      </c>
      <c r="J23" s="52">
        <f t="shared" si="4"/>
        <v>-0.14364089775561095</v>
      </c>
      <c r="K23" s="48">
        <v>16825.93</v>
      </c>
      <c r="L23" s="52">
        <f t="shared" si="5"/>
        <v>5.5058136290300874E-2</v>
      </c>
      <c r="M23" s="1"/>
      <c r="N23" s="57" t="s">
        <v>51</v>
      </c>
      <c r="O23" s="58" t="s">
        <v>52</v>
      </c>
      <c r="P23" s="59" t="s">
        <v>44</v>
      </c>
      <c r="Q23" s="128">
        <v>2.64</v>
      </c>
      <c r="R23" s="61">
        <f>IF(Q23&gt;1.1,0,1)</f>
        <v>0</v>
      </c>
    </row>
    <row r="24" spans="2:18" x14ac:dyDescent="0.2">
      <c r="B24" s="46">
        <v>45261</v>
      </c>
      <c r="C24">
        <v>16.09</v>
      </c>
      <c r="D24" s="47">
        <v>5.33E-2</v>
      </c>
      <c r="E24" s="52">
        <f t="shared" si="1"/>
        <v>-6.2900407687827675E-2</v>
      </c>
      <c r="F24" s="53">
        <f t="shared" si="2"/>
        <v>4.0887671232876718E-3</v>
      </c>
      <c r="G24" s="51">
        <f t="shared" si="3"/>
        <v>-6.6989174811115354E-2</v>
      </c>
      <c r="H24" s="1"/>
      <c r="I24" s="8">
        <f t="shared" si="0"/>
        <v>16.09</v>
      </c>
      <c r="J24" s="52">
        <f t="shared" si="4"/>
        <v>-6.2900407687827675E-2</v>
      </c>
      <c r="K24" s="48">
        <v>17137.240000000002</v>
      </c>
      <c r="L24" s="52">
        <f t="shared" si="5"/>
        <v>1.8501800494831633E-2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25.08</v>
      </c>
      <c r="D25" s="47">
        <v>5.2699999999999997E-2</v>
      </c>
      <c r="E25" s="52">
        <f t="shared" si="1"/>
        <v>0.55873213175885628</v>
      </c>
      <c r="F25" s="53">
        <f t="shared" si="2"/>
        <v>4.0427397260273962E-3</v>
      </c>
      <c r="G25" s="51">
        <f t="shared" si="3"/>
        <v>0.55468939203282885</v>
      </c>
      <c r="H25" s="1"/>
      <c r="I25" s="8">
        <f t="shared" si="0"/>
        <v>25.08</v>
      </c>
      <c r="J25" s="52">
        <f t="shared" si="4"/>
        <v>0.55873213175885628</v>
      </c>
      <c r="K25" s="48">
        <v>18043.849999999999</v>
      </c>
      <c r="L25" s="52">
        <f t="shared" si="5"/>
        <v>5.2902917856084031E-2</v>
      </c>
      <c r="M25" s="1"/>
      <c r="N25" s="30"/>
      <c r="O25" s="64"/>
      <c r="P25" s="30" t="s">
        <v>23</v>
      </c>
      <c r="Q25" s="84">
        <f>Q10</f>
        <v>553.36</v>
      </c>
      <c r="R25" s="31"/>
    </row>
    <row r="26" spans="2:18" x14ac:dyDescent="0.2">
      <c r="B26" s="46">
        <v>45323</v>
      </c>
      <c r="C26">
        <v>23.01</v>
      </c>
      <c r="D26" s="47">
        <v>5.2999999999999999E-2</v>
      </c>
      <c r="E26" s="52">
        <f t="shared" si="1"/>
        <v>-8.2535885167464018E-2</v>
      </c>
      <c r="F26" s="53">
        <f t="shared" si="2"/>
        <v>4.0657534246575349E-3</v>
      </c>
      <c r="G26" s="51">
        <f t="shared" si="3"/>
        <v>-8.6601638592121555E-2</v>
      </c>
      <c r="H26" s="1"/>
      <c r="I26" s="8">
        <f t="shared" si="0"/>
        <v>23.01</v>
      </c>
      <c r="J26" s="52">
        <f t="shared" si="4"/>
        <v>-8.2535885167464018E-2</v>
      </c>
      <c r="K26" s="48">
        <v>18254.689999999999</v>
      </c>
      <c r="L26" s="52">
        <f t="shared" si="5"/>
        <v>1.1684867697304036E-2</v>
      </c>
      <c r="M26" s="1"/>
      <c r="N26" s="49" t="s">
        <v>54</v>
      </c>
      <c r="O26" s="64"/>
      <c r="P26" s="30" t="s">
        <v>55</v>
      </c>
      <c r="Q26" s="132">
        <f>1/Q25</f>
        <v>1.8071418244903859E-3</v>
      </c>
      <c r="R26" s="31">
        <f>IF(Q26&lt;Q19,0,1)</f>
        <v>0</v>
      </c>
    </row>
    <row r="27" spans="2:18" x14ac:dyDescent="0.2">
      <c r="B27" s="46">
        <v>45352</v>
      </c>
      <c r="C27">
        <v>21.97</v>
      </c>
      <c r="D27" s="47">
        <v>5.2900000000000003E-2</v>
      </c>
      <c r="E27" s="52">
        <f t="shared" si="1"/>
        <v>-4.5197740112994489E-2</v>
      </c>
      <c r="F27" s="53">
        <f t="shared" si="2"/>
        <v>4.0580821917808214E-3</v>
      </c>
      <c r="G27" s="51">
        <f t="shared" si="3"/>
        <v>-4.9255822304775307E-2</v>
      </c>
      <c r="H27" s="1"/>
      <c r="I27" s="8">
        <f t="shared" si="0"/>
        <v>21.97</v>
      </c>
      <c r="J27" s="52">
        <f t="shared" si="4"/>
        <v>-4.5197740112994489E-2</v>
      </c>
      <c r="K27" s="48">
        <v>17440.689999999999</v>
      </c>
      <c r="L27" s="52">
        <f t="shared" si="5"/>
        <v>-4.4591280377809794E-2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21.68</v>
      </c>
      <c r="D28" s="47">
        <v>5.28E-2</v>
      </c>
      <c r="E28" s="52">
        <f t="shared" si="1"/>
        <v>-1.3199817933545743E-2</v>
      </c>
      <c r="F28" s="53">
        <f t="shared" si="2"/>
        <v>4.0504109589041097E-3</v>
      </c>
      <c r="G28" s="51">
        <f t="shared" si="3"/>
        <v>-1.7250228892449853E-2</v>
      </c>
      <c r="H28" s="1"/>
      <c r="I28" s="8">
        <f t="shared" si="0"/>
        <v>21.68</v>
      </c>
      <c r="J28" s="52">
        <f t="shared" si="4"/>
        <v>-1.3199817933545743E-2</v>
      </c>
      <c r="K28" s="48">
        <v>18536.650000000001</v>
      </c>
      <c r="L28" s="52">
        <f t="shared" si="5"/>
        <v>6.2839256933068688E-2</v>
      </c>
      <c r="M28" s="1"/>
      <c r="N28" s="30"/>
      <c r="O28" s="1"/>
      <c r="P28" s="30" t="s">
        <v>57</v>
      </c>
      <c r="Q28" s="51">
        <f>Q18</f>
        <v>0.35145436060507479</v>
      </c>
      <c r="R28" s="31"/>
    </row>
    <row r="29" spans="2:18" x14ac:dyDescent="0.2">
      <c r="B29" s="46">
        <v>45413</v>
      </c>
      <c r="C29">
        <v>25.33</v>
      </c>
      <c r="D29" s="47">
        <v>5.2699999999999997E-2</v>
      </c>
      <c r="E29" s="52">
        <f t="shared" si="1"/>
        <v>0.16835793357933571</v>
      </c>
      <c r="F29" s="53">
        <f t="shared" si="2"/>
        <v>4.0427397260273962E-3</v>
      </c>
      <c r="G29" s="51">
        <f t="shared" si="3"/>
        <v>0.16431519385330831</v>
      </c>
      <c r="H29" s="1"/>
      <c r="I29" s="8">
        <f t="shared" si="0"/>
        <v>25.33</v>
      </c>
      <c r="J29" s="52">
        <f t="shared" si="4"/>
        <v>0.16835793357933571</v>
      </c>
      <c r="K29" s="48">
        <v>19682.87</v>
      </c>
      <c r="L29" s="52">
        <f t="shared" si="5"/>
        <v>6.1835337021522108E-2</v>
      </c>
      <c r="M29" s="1"/>
      <c r="N29" s="49" t="s">
        <v>117</v>
      </c>
      <c r="O29" s="1"/>
      <c r="P29" s="30" t="s">
        <v>58</v>
      </c>
      <c r="Q29" s="67">
        <v>0.1595</v>
      </c>
      <c r="R29" s="31"/>
    </row>
    <row r="30" spans="2:18" ht="17" thickBot="1" x14ac:dyDescent="0.25">
      <c r="B30" s="46">
        <v>45444</v>
      </c>
      <c r="C30">
        <v>26.89</v>
      </c>
      <c r="D30" s="47">
        <v>5.2699999999999997E-2</v>
      </c>
      <c r="E30" s="52">
        <f t="shared" si="1"/>
        <v>6.158705092775385E-2</v>
      </c>
      <c r="F30" s="53">
        <f t="shared" si="2"/>
        <v>4.0427397260273962E-3</v>
      </c>
      <c r="G30" s="51">
        <f t="shared" si="3"/>
        <v>5.7544311201726456E-2</v>
      </c>
      <c r="I30" s="8">
        <f t="shared" si="0"/>
        <v>26.89</v>
      </c>
      <c r="J30" s="52">
        <f t="shared" si="4"/>
        <v>6.158705092775385E-2</v>
      </c>
      <c r="K30" s="48">
        <v>19362.43</v>
      </c>
      <c r="L30" s="52">
        <f t="shared" si="5"/>
        <v>-1.6280146137224838E-2</v>
      </c>
      <c r="M30" s="1"/>
      <c r="N30" s="1"/>
      <c r="O30" s="1"/>
      <c r="P30" s="33"/>
      <c r="Q30" s="68">
        <f>Q28-Q29</f>
        <v>0.19195436060507479</v>
      </c>
      <c r="R30" s="31">
        <f>IF(Q28&lt;Q29,0,1)</f>
        <v>1</v>
      </c>
    </row>
    <row r="31" spans="2:18" ht="17" thickBot="1" x14ac:dyDescent="0.25">
      <c r="B31" s="46">
        <v>45474</v>
      </c>
      <c r="C31">
        <v>31.48</v>
      </c>
      <c r="D31" s="47">
        <v>5.28E-2</v>
      </c>
      <c r="E31" s="52">
        <f t="shared" si="1"/>
        <v>0.17069542580885089</v>
      </c>
      <c r="F31" s="53">
        <f t="shared" si="2"/>
        <v>4.0504109589041097E-3</v>
      </c>
      <c r="G31" s="51">
        <f t="shared" si="3"/>
        <v>0.16664501484994679</v>
      </c>
      <c r="H31" s="1"/>
      <c r="I31" s="8">
        <f t="shared" si="0"/>
        <v>31.48</v>
      </c>
      <c r="J31" s="52">
        <f t="shared" si="4"/>
        <v>0.17069542580885089</v>
      </c>
      <c r="K31" s="48">
        <v>19574.64</v>
      </c>
      <c r="L31" s="52">
        <f t="shared" si="5"/>
        <v>1.0959884683895416E-2</v>
      </c>
      <c r="M31" s="1"/>
      <c r="N31" s="1"/>
      <c r="O31" s="1"/>
      <c r="P31" s="30"/>
      <c r="Q31" s="69"/>
      <c r="R31" s="133">
        <f>SUM(R10:R30)/8</f>
        <v>0.625</v>
      </c>
    </row>
    <row r="32" spans="2:18" x14ac:dyDescent="0.2">
      <c r="B32" s="46">
        <v>45505</v>
      </c>
      <c r="C32">
        <v>37.200000000000003</v>
      </c>
      <c r="D32" s="47">
        <v>5.1799999999999999E-2</v>
      </c>
      <c r="E32" s="52">
        <f t="shared" si="1"/>
        <v>0.18170266836086402</v>
      </c>
      <c r="F32" s="53">
        <f t="shared" si="2"/>
        <v>3.9736986301369863E-3</v>
      </c>
      <c r="G32" s="51">
        <f t="shared" si="3"/>
        <v>0.17772896973072702</v>
      </c>
      <c r="H32" s="1"/>
      <c r="I32" s="8">
        <f t="shared" si="0"/>
        <v>37.200000000000003</v>
      </c>
      <c r="J32" s="52">
        <f t="shared" si="4"/>
        <v>0.18170266836086402</v>
      </c>
      <c r="K32" s="48">
        <v>20060.689999999999</v>
      </c>
      <c r="L32" s="52">
        <f t="shared" si="5"/>
        <v>2.4830597139972932E-2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41.56</v>
      </c>
      <c r="D33" s="47">
        <v>4.7399999999999998E-2</v>
      </c>
      <c r="E33" s="52">
        <f t="shared" si="1"/>
        <v>0.1172043010752688</v>
      </c>
      <c r="F33" s="53">
        <f t="shared" si="2"/>
        <v>3.6361643835616433E-3</v>
      </c>
      <c r="G33" s="51">
        <f t="shared" si="3"/>
        <v>0.11356813669170716</v>
      </c>
      <c r="H33" s="1"/>
      <c r="I33" s="8">
        <f t="shared" si="0"/>
        <v>41.56</v>
      </c>
      <c r="J33" s="52">
        <f t="shared" si="4"/>
        <v>0.1172043010752688</v>
      </c>
      <c r="K33" s="48">
        <v>19890.41</v>
      </c>
      <c r="L33" s="52">
        <f t="shared" si="5"/>
        <v>-8.4882424283511115E-3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67.08</v>
      </c>
      <c r="D34" s="47">
        <v>4.58E-2</v>
      </c>
      <c r="E34" s="52">
        <f t="shared" si="1"/>
        <v>0.61405197305101056</v>
      </c>
      <c r="F34" s="53">
        <f t="shared" si="2"/>
        <v>3.5134246575342465E-3</v>
      </c>
      <c r="G34" s="51">
        <f t="shared" si="3"/>
        <v>0.61053854839347632</v>
      </c>
      <c r="H34" s="1"/>
      <c r="I34" s="8">
        <f t="shared" si="0"/>
        <v>67.08</v>
      </c>
      <c r="J34" s="52">
        <f t="shared" si="4"/>
        <v>0.61405197305101056</v>
      </c>
      <c r="K34" s="48">
        <v>20930.37</v>
      </c>
      <c r="L34" s="52">
        <f t="shared" si="5"/>
        <v>5.2284492878728939E-2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75.63</v>
      </c>
      <c r="D35" s="47">
        <v>4.5499999999999999E-2</v>
      </c>
      <c r="E35" s="52">
        <f t="shared" si="1"/>
        <v>0.12745974955277273</v>
      </c>
      <c r="F35" s="53">
        <f t="shared" si="2"/>
        <v>3.4904109589041091E-3</v>
      </c>
      <c r="G35" s="51">
        <f t="shared" si="3"/>
        <v>0.12396933859386862</v>
      </c>
      <c r="H35" s="1"/>
      <c r="I35" s="8">
        <f t="shared" si="0"/>
        <v>75.63</v>
      </c>
      <c r="J35" s="52">
        <f t="shared" si="4"/>
        <v>0.12745974955277273</v>
      </c>
      <c r="K35" s="48">
        <v>21012.17</v>
      </c>
      <c r="L35" s="52">
        <f t="shared" si="5"/>
        <v>3.9081965583980249E-3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82.49</v>
      </c>
      <c r="D36" s="47">
        <v>4.2200000000000001E-2</v>
      </c>
      <c r="E36" s="52">
        <f t="shared" si="1"/>
        <v>9.070474679360041E-2</v>
      </c>
      <c r="F36" s="53">
        <f t="shared" si="2"/>
        <v>3.2372602739726029E-3</v>
      </c>
      <c r="G36" s="51">
        <f t="shared" si="3"/>
        <v>8.746748651962781E-2</v>
      </c>
      <c r="H36" s="1"/>
      <c r="I36" s="8">
        <f t="shared" si="0"/>
        <v>82.49</v>
      </c>
      <c r="J36" s="52">
        <f t="shared" si="4"/>
        <v>9.070474679360041E-2</v>
      </c>
      <c r="K36" s="48">
        <v>21478.05</v>
      </c>
      <c r="L36" s="52">
        <f t="shared" si="5"/>
        <v>2.2171912753418566E-2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84.92</v>
      </c>
      <c r="D37" s="47">
        <v>4.2599999999999999E-2</v>
      </c>
      <c r="E37" s="52">
        <f t="shared" si="1"/>
        <v>2.9458116135289147E-2</v>
      </c>
      <c r="F37" s="53">
        <f t="shared" si="2"/>
        <v>3.267945205479452E-3</v>
      </c>
      <c r="G37" s="51">
        <f t="shared" si="3"/>
        <v>2.6190170929809697E-2</v>
      </c>
      <c r="H37" s="1"/>
      <c r="I37" s="8">
        <f t="shared" si="0"/>
        <v>84.92</v>
      </c>
      <c r="J37" s="52">
        <f t="shared" si="4"/>
        <v>2.9458116135289147E-2</v>
      </c>
      <c r="K37" s="48">
        <v>20884.41</v>
      </c>
      <c r="L37" s="52">
        <f t="shared" si="5"/>
        <v>-2.7639380670032909E-2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84.4</v>
      </c>
      <c r="D38" s="47">
        <v>4.24E-2</v>
      </c>
      <c r="E38" s="52">
        <f t="shared" si="1"/>
        <v>-6.1234102684879499E-3</v>
      </c>
      <c r="F38" s="53">
        <f t="shared" si="2"/>
        <v>3.2526027397260277E-3</v>
      </c>
      <c r="G38" s="51">
        <f t="shared" si="3"/>
        <v>-9.3760130082139771E-3</v>
      </c>
      <c r="H38" s="1"/>
      <c r="I38" s="8">
        <f t="shared" si="0"/>
        <v>84.4</v>
      </c>
      <c r="J38" s="52">
        <f t="shared" si="4"/>
        <v>-6.1234102684879499E-3</v>
      </c>
      <c r="K38" s="48">
        <v>19278.45</v>
      </c>
      <c r="L38" s="52">
        <f t="shared" si="5"/>
        <v>-7.6897551810177989E-2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118.44</v>
      </c>
      <c r="D39" s="47">
        <v>4.24E-2</v>
      </c>
      <c r="E39" s="52">
        <f t="shared" si="1"/>
        <v>0.40331753554502359</v>
      </c>
      <c r="F39" s="53">
        <f t="shared" si="2"/>
        <v>3.2526027397260277E-3</v>
      </c>
      <c r="G39" s="51">
        <f t="shared" si="3"/>
        <v>0.40006493280529754</v>
      </c>
      <c r="H39" s="1"/>
      <c r="I39" s="8">
        <f t="shared" si="0"/>
        <v>118.44</v>
      </c>
      <c r="J39" s="52">
        <f t="shared" si="4"/>
        <v>0.40331753554502359</v>
      </c>
      <c r="K39" s="48">
        <v>19571.02</v>
      </c>
      <c r="L39" s="52">
        <f t="shared" si="5"/>
        <v>1.51760125943734E-2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131.78</v>
      </c>
      <c r="D40" s="47">
        <v>4.2299999999999997E-2</v>
      </c>
      <c r="E40" s="52">
        <f t="shared" si="1"/>
        <v>0.11263086795001698</v>
      </c>
      <c r="F40" s="53">
        <f t="shared" si="2"/>
        <v>3.2449315068493151E-3</v>
      </c>
      <c r="G40" s="51">
        <f t="shared" si="3"/>
        <v>0.10938593644316766</v>
      </c>
      <c r="H40" s="1"/>
      <c r="I40" s="8">
        <f t="shared" si="0"/>
        <v>131.78</v>
      </c>
      <c r="J40" s="52">
        <f t="shared" si="4"/>
        <v>0.11263086795001698</v>
      </c>
      <c r="K40" s="48">
        <v>21340.99</v>
      </c>
      <c r="L40" s="52">
        <f t="shared" si="5"/>
        <v>9.04383113399303E-2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137.35</v>
      </c>
      <c r="D41" s="47">
        <v>4.2200000000000001E-2</v>
      </c>
      <c r="E41" s="52">
        <f t="shared" si="1"/>
        <v>4.2267415389285024E-2</v>
      </c>
      <c r="F41" s="53">
        <f t="shared" si="2"/>
        <v>3.2372602739726029E-3</v>
      </c>
      <c r="G41" s="51">
        <f t="shared" si="3"/>
        <v>3.9030155115312423E-2</v>
      </c>
      <c r="H41" s="1"/>
      <c r="I41" s="8">
        <f t="shared" si="0"/>
        <v>137.35</v>
      </c>
      <c r="J41" s="52">
        <f t="shared" si="4"/>
        <v>4.2267415389285024E-2</v>
      </c>
      <c r="K41" s="48">
        <v>21913.32</v>
      </c>
      <c r="L41" s="52">
        <f t="shared" si="5"/>
        <v>2.6818343478910656E-2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0.11770998507767984</v>
      </c>
      <c r="H43" s="1"/>
      <c r="I43" s="1"/>
      <c r="J43" s="1"/>
      <c r="K43" s="48" t="s">
        <v>65</v>
      </c>
      <c r="L43" s="82">
        <f>COVAR(J20:J41,L20:L41)</f>
        <v>3.5518959759111802E-3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2.111160292142152E-3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1.6824378466815244</v>
      </c>
    </row>
  </sheetData>
  <mergeCells count="1">
    <mergeCell ref="B4:D4"/>
  </mergeCells>
  <conditionalFormatting sqref="S10">
    <cfRule type="expression" dxfId="132" priority="20">
      <formula>IF($Q$10&gt;$Q$11,1,0)</formula>
    </cfRule>
  </conditionalFormatting>
  <conditionalFormatting sqref="Q10">
    <cfRule type="expression" dxfId="131" priority="11">
      <formula>IF($Q$10&lt;$Q$11,1,0)</formula>
    </cfRule>
    <cfRule type="expression" dxfId="130" priority="19">
      <formula>IF($Q$10&gt;$Q$11,1,0)</formula>
    </cfRule>
  </conditionalFormatting>
  <conditionalFormatting sqref="Q12">
    <cfRule type="expression" dxfId="129" priority="10">
      <formula>IF($Q$12&gt;$Q$13,1,0)</formula>
    </cfRule>
    <cfRule type="expression" dxfId="128" priority="18">
      <formula>IF($Q$12&lt;$Q$13,1,0)</formula>
    </cfRule>
  </conditionalFormatting>
  <conditionalFormatting sqref="Q14">
    <cfRule type="expression" dxfId="127" priority="17">
      <formula>IF($Q$15="Sell",1,0)</formula>
    </cfRule>
  </conditionalFormatting>
  <conditionalFormatting sqref="Q14:Q15">
    <cfRule type="expression" dxfId="126" priority="16">
      <formula>IF($Q$15="Buy",1,0)</formula>
    </cfRule>
  </conditionalFormatting>
  <conditionalFormatting sqref="Q16">
    <cfRule type="expression" dxfId="125" priority="14">
      <formula>IF($Q$16&lt;$Q$17,1,0)</formula>
    </cfRule>
    <cfRule type="expression" dxfId="124" priority="15">
      <formula>IF($Q$16&gt;$Q$17,1,0)</formula>
    </cfRule>
  </conditionalFormatting>
  <conditionalFormatting sqref="Q18">
    <cfRule type="expression" dxfId="123" priority="12">
      <formula>IF($Q$18&lt;$Q$19,1,0)</formula>
    </cfRule>
    <cfRule type="expression" dxfId="122" priority="13">
      <formula>IF($Q$18&gt;$Q$19,1,0)</formula>
    </cfRule>
  </conditionalFormatting>
  <conditionalFormatting sqref="Q23">
    <cfRule type="expression" dxfId="121" priority="8">
      <formula>IF($Q$23&lt;1.1,1,0)</formula>
    </cfRule>
    <cfRule type="expression" dxfId="120" priority="9">
      <formula>IF($Q$23&gt;1.1,1,0)</formula>
    </cfRule>
  </conditionalFormatting>
  <conditionalFormatting sqref="Q26">
    <cfRule type="expression" dxfId="119" priority="6">
      <formula>IF($Q$26&lt;$Q$19,1,0)</formula>
    </cfRule>
    <cfRule type="expression" dxfId="118" priority="7">
      <formula>IF($Q$26&gt;$Q$19,1,0)</formula>
    </cfRule>
  </conditionalFormatting>
  <conditionalFormatting sqref="Q30">
    <cfRule type="expression" dxfId="117" priority="4">
      <formula>IF($Q$28&lt;$Q$29,1,0)</formula>
    </cfRule>
    <cfRule type="expression" dxfId="116" priority="5">
      <formula>IF($Q$28&gt;$Q$29,1,0)</formula>
    </cfRule>
  </conditionalFormatting>
  <conditionalFormatting sqref="R31">
    <cfRule type="expression" dxfId="115" priority="1">
      <formula>IF($R$31&lt;0.485,1,0)</formula>
    </cfRule>
    <cfRule type="expression" dxfId="114" priority="2">
      <formula>IF($R$31&gt;0.49,1,0)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6F9C9-B4CE-459B-81A2-871F063D5452}">
  <sheetPr codeName="Sheet15"/>
  <dimension ref="B2:R45"/>
  <sheetViews>
    <sheetView zoomScale="85" zoomScaleNormal="85" workbookViewId="0"/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123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122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NVDA</v>
      </c>
      <c r="R5" s="8"/>
    </row>
    <row r="6" spans="2:18" x14ac:dyDescent="0.2">
      <c r="B6" s="1" t="s">
        <v>4</v>
      </c>
      <c r="C6" s="1" t="s">
        <v>62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NASDAQ</v>
      </c>
      <c r="R6" s="8"/>
    </row>
    <row r="7" spans="2:18" x14ac:dyDescent="0.2">
      <c r="B7" s="1" t="s">
        <v>7</v>
      </c>
      <c r="C7" s="13">
        <v>45821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141.97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46.27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-14.63</v>
      </c>
      <c r="R11" s="31">
        <f>IF(Q10&gt;Q11,0,1)</f>
        <v>0</v>
      </c>
    </row>
    <row r="12" spans="2:18" x14ac:dyDescent="0.2">
      <c r="B12" s="1" t="s">
        <v>26</v>
      </c>
      <c r="C12" s="32">
        <f>Q23</f>
        <v>2.12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0.96</v>
      </c>
      <c r="R12" s="25"/>
    </row>
    <row r="13" spans="2:18" x14ac:dyDescent="0.2">
      <c r="B13" s="1" t="s">
        <v>30</v>
      </c>
      <c r="C13" s="26">
        <f>G43</f>
        <v>5.2414455434450141E-2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0.93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0.1518186455210343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-0.12</v>
      </c>
      <c r="R14" s="31"/>
    </row>
    <row r="15" spans="2:18" ht="19" x14ac:dyDescent="0.25">
      <c r="B15" s="1" t="s">
        <v>36</v>
      </c>
      <c r="C15" s="39">
        <f>C10*(1+C14)</f>
        <v>163.52369310462126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f>IF(Q15="Sell",0,1)</f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41">
        <v>61.26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62.92</v>
      </c>
      <c r="R17" s="42">
        <f>IF(Q16&lt;Q17,0,1)</f>
        <v>0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NVIDIA</v>
      </c>
      <c r="J18" s="34" t="s">
        <v>45</v>
      </c>
      <c r="K18" s="34" t="s">
        <v>64</v>
      </c>
      <c r="L18" s="34" t="s">
        <v>46</v>
      </c>
      <c r="M18" s="1"/>
      <c r="N18" s="21"/>
      <c r="O18" s="22"/>
      <c r="P18" s="23" t="s">
        <v>47</v>
      </c>
      <c r="Q18" s="137">
        <f>C14</f>
        <v>0.1518186455210343</v>
      </c>
      <c r="R18" s="25"/>
    </row>
    <row r="19" spans="2:18" x14ac:dyDescent="0.2">
      <c r="B19" s="46">
        <v>45108</v>
      </c>
      <c r="C19">
        <v>49.35</v>
      </c>
      <c r="D19" s="47">
        <v>5.2699999999999997E-2</v>
      </c>
      <c r="E19" s="1"/>
      <c r="F19" s="1"/>
      <c r="G19" s="1"/>
      <c r="H19" s="1"/>
      <c r="I19" s="8">
        <f>C19</f>
        <v>49.35</v>
      </c>
      <c r="J19" s="8"/>
      <c r="K19" s="48">
        <v>15501.07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43.5</v>
      </c>
      <c r="D20" s="47">
        <v>5.28E-2</v>
      </c>
      <c r="E20" s="52">
        <f>C20/C19-1</f>
        <v>-0.1185410334346505</v>
      </c>
      <c r="F20" s="53">
        <f>D20/365*28</f>
        <v>4.0504109589041097E-3</v>
      </c>
      <c r="G20" s="51">
        <f>E20-F20</f>
        <v>-0.12259144439355461</v>
      </c>
      <c r="H20" s="1"/>
      <c r="I20" s="8">
        <f t="shared" ref="I20:I41" si="0">C20</f>
        <v>43.5</v>
      </c>
      <c r="J20" s="52">
        <f>I20/I19-1</f>
        <v>-0.1185410334346505</v>
      </c>
      <c r="K20" s="48">
        <v>14715.24</v>
      </c>
      <c r="L20" s="52">
        <f>K20/K19-1</f>
        <v>-5.0695210072595032E-2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40.78</v>
      </c>
      <c r="D21" s="47">
        <v>5.2900000000000003E-2</v>
      </c>
      <c r="E21" s="52">
        <f t="shared" ref="E21:E41" si="1">C21/C20-1</f>
        <v>-6.2528735632183863E-2</v>
      </c>
      <c r="F21" s="53">
        <f t="shared" ref="F21:F41" si="2">D21/365*28</f>
        <v>4.0580821917808214E-3</v>
      </c>
      <c r="G21" s="51">
        <f t="shared" ref="G21:G41" si="3">E21-F21</f>
        <v>-6.6586817823964681E-2</v>
      </c>
      <c r="H21" s="1"/>
      <c r="I21" s="8">
        <f t="shared" si="0"/>
        <v>40.78</v>
      </c>
      <c r="J21" s="52">
        <f t="shared" ref="J21:J41" si="4">I21/I20-1</f>
        <v>-6.2528735632183863E-2</v>
      </c>
      <c r="K21" s="48">
        <v>14409.78</v>
      </c>
      <c r="L21" s="52">
        <f t="shared" ref="L21:L41" si="5">K21/K20-1</f>
        <v>-2.0758071224118657E-2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46.77</v>
      </c>
      <c r="D22" s="47">
        <v>5.2900000000000003E-2</v>
      </c>
      <c r="E22" s="52">
        <f t="shared" si="1"/>
        <v>0.14688572829818547</v>
      </c>
      <c r="F22" s="53">
        <f t="shared" si="2"/>
        <v>4.0580821917808214E-3</v>
      </c>
      <c r="G22" s="51">
        <f t="shared" si="3"/>
        <v>0.14282764610640464</v>
      </c>
      <c r="H22" s="1"/>
      <c r="I22" s="8">
        <f t="shared" si="0"/>
        <v>46.77</v>
      </c>
      <c r="J22" s="52">
        <f t="shared" si="4"/>
        <v>0.14688572829818547</v>
      </c>
      <c r="K22" s="48">
        <v>15947.87</v>
      </c>
      <c r="L22" s="52">
        <f t="shared" si="5"/>
        <v>0.10673931177297646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C23">
        <v>49.52</v>
      </c>
      <c r="D23" s="47">
        <v>5.2900000000000003E-2</v>
      </c>
      <c r="E23" s="52">
        <f t="shared" si="1"/>
        <v>5.8798375026726468E-2</v>
      </c>
      <c r="F23" s="53">
        <f t="shared" si="2"/>
        <v>4.0580821917808214E-3</v>
      </c>
      <c r="G23" s="51">
        <f t="shared" si="3"/>
        <v>5.474029283494565E-2</v>
      </c>
      <c r="H23" s="1"/>
      <c r="I23" s="8">
        <f t="shared" si="0"/>
        <v>49.52</v>
      </c>
      <c r="J23" s="52">
        <f t="shared" si="4"/>
        <v>5.8798375026726468E-2</v>
      </c>
      <c r="K23" s="48">
        <v>16825.93</v>
      </c>
      <c r="L23" s="52">
        <f t="shared" si="5"/>
        <v>5.5058136290300874E-2</v>
      </c>
      <c r="M23" s="1"/>
      <c r="N23" s="57" t="s">
        <v>51</v>
      </c>
      <c r="O23" s="58" t="s">
        <v>52</v>
      </c>
      <c r="P23" s="59" t="s">
        <v>44</v>
      </c>
      <c r="Q23" s="128">
        <v>2.12</v>
      </c>
      <c r="R23" s="61">
        <f>IF(Q23&gt;1.1,0,1)</f>
        <v>0</v>
      </c>
    </row>
    <row r="24" spans="2:18" x14ac:dyDescent="0.2">
      <c r="B24" s="46">
        <v>45261</v>
      </c>
      <c r="C24">
        <v>61.53</v>
      </c>
      <c r="D24" s="47">
        <v>5.33E-2</v>
      </c>
      <c r="E24" s="52">
        <f t="shared" si="1"/>
        <v>0.2425282714054926</v>
      </c>
      <c r="F24" s="53">
        <f t="shared" si="2"/>
        <v>4.0887671232876718E-3</v>
      </c>
      <c r="G24" s="51">
        <f t="shared" si="3"/>
        <v>0.23843950428220492</v>
      </c>
      <c r="H24" s="1"/>
      <c r="I24" s="8">
        <f t="shared" si="0"/>
        <v>61.53</v>
      </c>
      <c r="J24" s="52">
        <f t="shared" si="4"/>
        <v>0.2425282714054926</v>
      </c>
      <c r="K24" s="48">
        <v>17137.240000000002</v>
      </c>
      <c r="L24" s="52">
        <f t="shared" si="5"/>
        <v>1.8501800494831633E-2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79.11</v>
      </c>
      <c r="D25" s="47">
        <v>5.2699999999999997E-2</v>
      </c>
      <c r="E25" s="52">
        <f t="shared" si="1"/>
        <v>0.28571428571428559</v>
      </c>
      <c r="F25" s="53">
        <f t="shared" si="2"/>
        <v>4.0427397260273962E-3</v>
      </c>
      <c r="G25" s="51">
        <f t="shared" si="3"/>
        <v>0.28167154598825817</v>
      </c>
      <c r="H25" s="1"/>
      <c r="I25" s="8">
        <f t="shared" si="0"/>
        <v>79.11</v>
      </c>
      <c r="J25" s="52">
        <f t="shared" si="4"/>
        <v>0.28571428571428559</v>
      </c>
      <c r="K25" s="48">
        <v>18043.849999999999</v>
      </c>
      <c r="L25" s="52">
        <f t="shared" si="5"/>
        <v>5.2902917856084031E-2</v>
      </c>
      <c r="M25" s="1"/>
      <c r="N25" s="30"/>
      <c r="O25" s="64"/>
      <c r="P25" s="30" t="s">
        <v>23</v>
      </c>
      <c r="Q25" s="84">
        <f>Q10</f>
        <v>46.27</v>
      </c>
      <c r="R25" s="31"/>
    </row>
    <row r="26" spans="2:18" x14ac:dyDescent="0.2">
      <c r="B26" s="46">
        <v>45323</v>
      </c>
      <c r="C26">
        <v>90.36</v>
      </c>
      <c r="D26" s="47">
        <v>5.2999999999999999E-2</v>
      </c>
      <c r="E26" s="52">
        <f t="shared" si="1"/>
        <v>0.14220705346985207</v>
      </c>
      <c r="F26" s="53">
        <f t="shared" si="2"/>
        <v>4.0657534246575349E-3</v>
      </c>
      <c r="G26" s="51">
        <f t="shared" si="3"/>
        <v>0.13814130004519454</v>
      </c>
      <c r="H26" s="1"/>
      <c r="I26" s="8">
        <f t="shared" si="0"/>
        <v>90.36</v>
      </c>
      <c r="J26" s="52">
        <f t="shared" si="4"/>
        <v>0.14220705346985207</v>
      </c>
      <c r="K26" s="48">
        <v>18254.689999999999</v>
      </c>
      <c r="L26" s="52">
        <f t="shared" si="5"/>
        <v>1.1684867697304036E-2</v>
      </c>
      <c r="M26" s="1"/>
      <c r="N26" s="49" t="s">
        <v>54</v>
      </c>
      <c r="O26" s="64"/>
      <c r="P26" s="30" t="s">
        <v>55</v>
      </c>
      <c r="Q26" s="132">
        <f>1/Q25</f>
        <v>2.1612275772638856E-2</v>
      </c>
      <c r="R26" s="31">
        <f>IF(Q26&lt;Q19,0,1)</f>
        <v>0</v>
      </c>
    </row>
    <row r="27" spans="2:18" x14ac:dyDescent="0.2">
      <c r="B27" s="46">
        <v>45352</v>
      </c>
      <c r="C27">
        <v>86.4</v>
      </c>
      <c r="D27" s="47">
        <v>5.2900000000000003E-2</v>
      </c>
      <c r="E27" s="52">
        <f t="shared" si="1"/>
        <v>-4.3824701195219085E-2</v>
      </c>
      <c r="F27" s="53">
        <f t="shared" si="2"/>
        <v>4.0580821917808214E-3</v>
      </c>
      <c r="G27" s="51">
        <f t="shared" si="3"/>
        <v>-4.7882783386999903E-2</v>
      </c>
      <c r="H27" s="1"/>
      <c r="I27" s="8">
        <f t="shared" si="0"/>
        <v>86.4</v>
      </c>
      <c r="J27" s="52">
        <f t="shared" si="4"/>
        <v>-4.3824701195219085E-2</v>
      </c>
      <c r="K27" s="48">
        <v>17440.689999999999</v>
      </c>
      <c r="L27" s="52">
        <f t="shared" si="5"/>
        <v>-4.4591280377809794E-2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109.63</v>
      </c>
      <c r="D28" s="47">
        <v>5.28E-2</v>
      </c>
      <c r="E28" s="52">
        <f t="shared" si="1"/>
        <v>0.26886574074074066</v>
      </c>
      <c r="F28" s="53">
        <f t="shared" si="2"/>
        <v>4.0504109589041097E-3</v>
      </c>
      <c r="G28" s="51">
        <f t="shared" si="3"/>
        <v>0.26481532978183653</v>
      </c>
      <c r="H28" s="1"/>
      <c r="I28" s="8">
        <f t="shared" si="0"/>
        <v>109.63</v>
      </c>
      <c r="J28" s="52">
        <f t="shared" si="4"/>
        <v>0.26886574074074066</v>
      </c>
      <c r="K28" s="48">
        <v>18536.650000000001</v>
      </c>
      <c r="L28" s="52">
        <f t="shared" si="5"/>
        <v>6.2839256933068688E-2</v>
      </c>
      <c r="M28" s="1"/>
      <c r="N28" s="30"/>
      <c r="O28" s="1"/>
      <c r="P28" s="30" t="s">
        <v>57</v>
      </c>
      <c r="Q28" s="51">
        <f>Q18</f>
        <v>0.1518186455210343</v>
      </c>
      <c r="R28" s="31"/>
    </row>
    <row r="29" spans="2:18" x14ac:dyDescent="0.2">
      <c r="B29" s="46">
        <v>45413</v>
      </c>
      <c r="C29">
        <v>123.54</v>
      </c>
      <c r="D29" s="47">
        <v>5.2699999999999997E-2</v>
      </c>
      <c r="E29" s="52">
        <f t="shared" si="1"/>
        <v>0.1268813281036214</v>
      </c>
      <c r="F29" s="53">
        <f t="shared" si="2"/>
        <v>4.0427397260273962E-3</v>
      </c>
      <c r="G29" s="51">
        <f t="shared" si="3"/>
        <v>0.12283858837759401</v>
      </c>
      <c r="H29" s="1"/>
      <c r="I29" s="8">
        <f t="shared" si="0"/>
        <v>123.54</v>
      </c>
      <c r="J29" s="52">
        <f t="shared" si="4"/>
        <v>0.1268813281036214</v>
      </c>
      <c r="K29" s="48">
        <v>19682.87</v>
      </c>
      <c r="L29" s="52">
        <f t="shared" si="5"/>
        <v>6.1835337021522108E-2</v>
      </c>
      <c r="M29" s="1"/>
      <c r="N29" s="49" t="s">
        <v>117</v>
      </c>
      <c r="O29" s="1"/>
      <c r="P29" s="30" t="s">
        <v>58</v>
      </c>
      <c r="Q29" s="67">
        <v>0.1542</v>
      </c>
      <c r="R29" s="31"/>
    </row>
    <row r="30" spans="2:18" ht="17" thickBot="1" x14ac:dyDescent="0.25">
      <c r="B30" s="46">
        <v>45444</v>
      </c>
      <c r="C30">
        <v>117.02</v>
      </c>
      <c r="D30" s="47">
        <v>5.2699999999999997E-2</v>
      </c>
      <c r="E30" s="52">
        <f t="shared" si="1"/>
        <v>-5.2776428687065002E-2</v>
      </c>
      <c r="F30" s="53">
        <f t="shared" si="2"/>
        <v>4.0427397260273962E-3</v>
      </c>
      <c r="G30" s="51">
        <f t="shared" si="3"/>
        <v>-5.6819168413092397E-2</v>
      </c>
      <c r="I30" s="8">
        <f t="shared" si="0"/>
        <v>117.02</v>
      </c>
      <c r="J30" s="52">
        <f t="shared" si="4"/>
        <v>-5.2776428687065002E-2</v>
      </c>
      <c r="K30" s="48">
        <v>19362.43</v>
      </c>
      <c r="L30" s="52">
        <f t="shared" si="5"/>
        <v>-1.6280146137224838E-2</v>
      </c>
      <c r="M30" s="1"/>
      <c r="N30" s="1"/>
      <c r="O30" s="1"/>
      <c r="P30" s="33"/>
      <c r="Q30" s="68">
        <f>Q28-Q29</f>
        <v>-2.3813544789657026E-3</v>
      </c>
      <c r="R30" s="31">
        <f>IF(Q28&lt;Q29,0,1)</f>
        <v>0</v>
      </c>
    </row>
    <row r="31" spans="2:18" ht="17" thickBot="1" x14ac:dyDescent="0.25">
      <c r="B31" s="46">
        <v>45474</v>
      </c>
      <c r="C31">
        <v>119.37</v>
      </c>
      <c r="D31" s="47">
        <v>5.28E-2</v>
      </c>
      <c r="E31" s="52">
        <f t="shared" si="1"/>
        <v>2.008203725858837E-2</v>
      </c>
      <c r="F31" s="53">
        <f t="shared" si="2"/>
        <v>4.0504109589041097E-3</v>
      </c>
      <c r="G31" s="51">
        <f t="shared" si="3"/>
        <v>1.603162629968426E-2</v>
      </c>
      <c r="H31" s="1"/>
      <c r="I31" s="8">
        <f t="shared" si="0"/>
        <v>119.37</v>
      </c>
      <c r="J31" s="52">
        <f t="shared" si="4"/>
        <v>2.008203725858837E-2</v>
      </c>
      <c r="K31" s="48">
        <v>19574.64</v>
      </c>
      <c r="L31" s="52">
        <f t="shared" si="5"/>
        <v>1.0959884683895416E-2</v>
      </c>
      <c r="M31" s="1"/>
      <c r="N31" s="1"/>
      <c r="O31" s="1"/>
      <c r="P31" s="30"/>
      <c r="Q31" s="69"/>
      <c r="R31" s="133">
        <f>SUM(R10:R30)/8</f>
        <v>0.25</v>
      </c>
    </row>
    <row r="32" spans="2:18" x14ac:dyDescent="0.2">
      <c r="B32" s="46">
        <v>45505</v>
      </c>
      <c r="C32">
        <v>121.44</v>
      </c>
      <c r="D32" s="47">
        <v>5.1799999999999999E-2</v>
      </c>
      <c r="E32" s="52">
        <f t="shared" si="1"/>
        <v>1.7341040462427681E-2</v>
      </c>
      <c r="F32" s="53">
        <f t="shared" si="2"/>
        <v>3.9736986301369863E-3</v>
      </c>
      <c r="G32" s="51">
        <f t="shared" si="3"/>
        <v>1.3367341832290696E-2</v>
      </c>
      <c r="H32" s="1"/>
      <c r="I32" s="8">
        <f t="shared" si="0"/>
        <v>121.44</v>
      </c>
      <c r="J32" s="52">
        <f t="shared" si="4"/>
        <v>1.7341040462427681E-2</v>
      </c>
      <c r="K32" s="48">
        <v>20060.689999999999</v>
      </c>
      <c r="L32" s="52">
        <f t="shared" si="5"/>
        <v>2.4830597139972932E-2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132.76</v>
      </c>
      <c r="D33" s="47">
        <v>4.7399999999999998E-2</v>
      </c>
      <c r="E33" s="52">
        <f t="shared" si="1"/>
        <v>9.3214756258234388E-2</v>
      </c>
      <c r="F33" s="53">
        <f t="shared" si="2"/>
        <v>3.6361643835616433E-3</v>
      </c>
      <c r="G33" s="51">
        <f t="shared" si="3"/>
        <v>8.957859187467275E-2</v>
      </c>
      <c r="H33" s="1"/>
      <c r="I33" s="8">
        <f t="shared" si="0"/>
        <v>132.76</v>
      </c>
      <c r="J33" s="52">
        <f t="shared" si="4"/>
        <v>9.3214756258234388E-2</v>
      </c>
      <c r="K33" s="48">
        <v>19890.41</v>
      </c>
      <c r="L33" s="52">
        <f t="shared" si="5"/>
        <v>-8.4882424283511115E-3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138.25</v>
      </c>
      <c r="D34" s="47">
        <v>4.58E-2</v>
      </c>
      <c r="E34" s="52">
        <f t="shared" si="1"/>
        <v>4.1352817113588403E-2</v>
      </c>
      <c r="F34" s="53">
        <f t="shared" si="2"/>
        <v>3.5134246575342465E-3</v>
      </c>
      <c r="G34" s="51">
        <f t="shared" si="3"/>
        <v>3.7839392456054159E-2</v>
      </c>
      <c r="H34" s="1"/>
      <c r="I34" s="8">
        <f t="shared" si="0"/>
        <v>138.25</v>
      </c>
      <c r="J34" s="52">
        <f t="shared" si="4"/>
        <v>4.1352817113588403E-2</v>
      </c>
      <c r="K34" s="48">
        <v>20930.37</v>
      </c>
      <c r="L34" s="52">
        <f t="shared" si="5"/>
        <v>5.2284492878728939E-2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134.29</v>
      </c>
      <c r="D35" s="47">
        <v>4.5499999999999999E-2</v>
      </c>
      <c r="E35" s="52">
        <f t="shared" si="1"/>
        <v>-2.8643761301989201E-2</v>
      </c>
      <c r="F35" s="53">
        <f t="shared" si="2"/>
        <v>3.4904109589041091E-3</v>
      </c>
      <c r="G35" s="51">
        <f t="shared" si="3"/>
        <v>-3.2134172260893309E-2</v>
      </c>
      <c r="H35" s="1"/>
      <c r="I35" s="8">
        <f t="shared" si="0"/>
        <v>134.29</v>
      </c>
      <c r="J35" s="52">
        <f t="shared" si="4"/>
        <v>-2.8643761301989201E-2</v>
      </c>
      <c r="K35" s="48">
        <v>21012.17</v>
      </c>
      <c r="L35" s="52">
        <f t="shared" si="5"/>
        <v>3.9081965583980249E-3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120.07</v>
      </c>
      <c r="D36" s="47">
        <v>4.2200000000000001E-2</v>
      </c>
      <c r="E36" s="52">
        <f t="shared" si="1"/>
        <v>-0.10589023754561022</v>
      </c>
      <c r="F36" s="53">
        <f t="shared" si="2"/>
        <v>3.2372602739726029E-3</v>
      </c>
      <c r="G36" s="51">
        <f t="shared" si="3"/>
        <v>-0.10912749781958282</v>
      </c>
      <c r="H36" s="1"/>
      <c r="I36" s="8">
        <f t="shared" si="0"/>
        <v>120.07</v>
      </c>
      <c r="J36" s="52">
        <f t="shared" si="4"/>
        <v>-0.10589023754561022</v>
      </c>
      <c r="K36" s="48">
        <v>21478.05</v>
      </c>
      <c r="L36" s="52">
        <f t="shared" si="5"/>
        <v>2.2171912753418566E-2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124.92</v>
      </c>
      <c r="D37" s="47">
        <v>4.2599999999999999E-2</v>
      </c>
      <c r="E37" s="52">
        <f t="shared" si="1"/>
        <v>4.0393104022653503E-2</v>
      </c>
      <c r="F37" s="53">
        <f t="shared" si="2"/>
        <v>3.267945205479452E-3</v>
      </c>
      <c r="G37" s="51">
        <f t="shared" si="3"/>
        <v>3.7125158817174049E-2</v>
      </c>
      <c r="H37" s="1"/>
      <c r="I37" s="8">
        <f t="shared" si="0"/>
        <v>124.92</v>
      </c>
      <c r="J37" s="52">
        <f t="shared" si="4"/>
        <v>4.0393104022653503E-2</v>
      </c>
      <c r="K37" s="48">
        <v>20884.41</v>
      </c>
      <c r="L37" s="52">
        <f t="shared" si="5"/>
        <v>-2.7639380670032909E-2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108.38</v>
      </c>
      <c r="D38" s="47">
        <v>4.24E-2</v>
      </c>
      <c r="E38" s="52">
        <f t="shared" si="1"/>
        <v>-0.13240473903298111</v>
      </c>
      <c r="F38" s="53">
        <f t="shared" si="2"/>
        <v>3.2526027397260277E-3</v>
      </c>
      <c r="G38" s="51">
        <f t="shared" si="3"/>
        <v>-0.13565734177270714</v>
      </c>
      <c r="H38" s="1"/>
      <c r="I38" s="8">
        <f t="shared" si="0"/>
        <v>108.38</v>
      </c>
      <c r="J38" s="52">
        <f t="shared" si="4"/>
        <v>-0.13240473903298111</v>
      </c>
      <c r="K38" s="48">
        <v>19278.45</v>
      </c>
      <c r="L38" s="52">
        <f t="shared" si="5"/>
        <v>-7.6897551810177989E-2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108.92</v>
      </c>
      <c r="D39" s="47">
        <v>4.24E-2</v>
      </c>
      <c r="E39" s="52">
        <f t="shared" si="1"/>
        <v>4.9824690902380286E-3</v>
      </c>
      <c r="F39" s="53">
        <f t="shared" si="2"/>
        <v>3.2526027397260277E-3</v>
      </c>
      <c r="G39" s="51">
        <f t="shared" si="3"/>
        <v>1.729866350512001E-3</v>
      </c>
      <c r="H39" s="1"/>
      <c r="I39" s="8">
        <f t="shared" si="0"/>
        <v>108.92</v>
      </c>
      <c r="J39" s="52">
        <f t="shared" si="4"/>
        <v>4.9824690902380286E-3</v>
      </c>
      <c r="K39" s="48">
        <v>19571.02</v>
      </c>
      <c r="L39" s="52">
        <f t="shared" si="5"/>
        <v>1.51760125943734E-2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135.13</v>
      </c>
      <c r="D40" s="47">
        <v>4.2299999999999997E-2</v>
      </c>
      <c r="E40" s="52">
        <f t="shared" si="1"/>
        <v>0.2406353286816012</v>
      </c>
      <c r="F40" s="53">
        <f t="shared" si="2"/>
        <v>3.2449315068493151E-3</v>
      </c>
      <c r="G40" s="51">
        <f t="shared" si="3"/>
        <v>0.23739039717475188</v>
      </c>
      <c r="H40" s="1"/>
      <c r="I40" s="8">
        <f t="shared" si="0"/>
        <v>135.13</v>
      </c>
      <c r="J40" s="52">
        <f t="shared" si="4"/>
        <v>0.2406353286816012</v>
      </c>
      <c r="K40" s="48">
        <v>21340.99</v>
      </c>
      <c r="L40" s="52">
        <f t="shared" si="5"/>
        <v>9.04383113399303E-2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141.97</v>
      </c>
      <c r="D41" s="47">
        <v>4.2200000000000001E-2</v>
      </c>
      <c r="E41" s="52">
        <f t="shared" si="1"/>
        <v>5.0617923481092397E-2</v>
      </c>
      <c r="F41" s="53">
        <f t="shared" si="2"/>
        <v>3.2372602739726029E-3</v>
      </c>
      <c r="G41" s="51">
        <f t="shared" si="3"/>
        <v>4.7380663207119797E-2</v>
      </c>
      <c r="H41" s="1"/>
      <c r="I41" s="8">
        <f t="shared" si="0"/>
        <v>141.97</v>
      </c>
      <c r="J41" s="52">
        <f t="shared" si="4"/>
        <v>5.0617923481092397E-2</v>
      </c>
      <c r="K41" s="48">
        <v>21913.32</v>
      </c>
      <c r="L41" s="52">
        <f t="shared" si="5"/>
        <v>2.6818343478910656E-2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5.2414455434450141E-2</v>
      </c>
      <c r="H43" s="1"/>
      <c r="I43" s="1"/>
      <c r="J43" s="1"/>
      <c r="K43" s="48" t="s">
        <v>65</v>
      </c>
      <c r="L43" s="82">
        <f>COVAR(J20:J41,L20:L41)</f>
        <v>3.9106423041347068E-3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2.111160292142152E-3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1.8523663592434549</v>
      </c>
    </row>
  </sheetData>
  <mergeCells count="1">
    <mergeCell ref="B4:D4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212D8-0942-4FD7-81B4-0C13F5C93913}">
  <sheetPr codeName="Sheet13"/>
  <dimension ref="B2:R45"/>
  <sheetViews>
    <sheetView zoomScale="85" zoomScaleNormal="85" workbookViewId="0">
      <selection activeCell="Q10" sqref="Q10:R30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135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136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AGL</v>
      </c>
      <c r="R5" s="8"/>
    </row>
    <row r="6" spans="2:18" x14ac:dyDescent="0.2">
      <c r="B6" s="1" t="s">
        <v>4</v>
      </c>
      <c r="C6" s="1" t="s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NYSE</v>
      </c>
      <c r="R6" s="8"/>
    </row>
    <row r="7" spans="2:18" x14ac:dyDescent="0.2">
      <c r="B7" s="1" t="s">
        <v>7</v>
      </c>
      <c r="C7" s="13">
        <v>45822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2.15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-5.46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22.14</v>
      </c>
      <c r="R11" s="31">
        <f>IF(Q10&gt;Q11,0,1)</f>
        <v>1</v>
      </c>
    </row>
    <row r="12" spans="2:18" x14ac:dyDescent="0.2">
      <c r="B12" s="1" t="s">
        <v>26</v>
      </c>
      <c r="C12" s="32">
        <f>Q23</f>
        <v>0.14000000000000001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0.03</v>
      </c>
      <c r="R12" s="25"/>
    </row>
    <row r="13" spans="2:18" x14ac:dyDescent="0.2">
      <c r="B13" s="1" t="s">
        <v>30</v>
      </c>
      <c r="C13" s="26">
        <f>G43</f>
        <v>-5.4922820599413051E-2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1.6000000000000001E-3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3.3010805116082176E-2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-0.03</v>
      </c>
      <c r="R14" s="31"/>
    </row>
    <row r="15" spans="2:18" ht="19" x14ac:dyDescent="0.25">
      <c r="B15" s="1" t="s">
        <v>36</v>
      </c>
      <c r="C15" s="39">
        <f>C10*(1+C14)</f>
        <v>2.2209732309995767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f>IF(Q15="Sell",0,1)</f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1258.42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35.85</v>
      </c>
      <c r="R17" s="42">
        <f>IF(Q16&lt;Q17,0,1)</f>
        <v>1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Agilon Health Inc</v>
      </c>
      <c r="J18" s="34" t="s">
        <v>45</v>
      </c>
      <c r="K18" s="34" t="s">
        <v>64</v>
      </c>
      <c r="L18" s="34" t="s">
        <v>46</v>
      </c>
      <c r="M18" s="1"/>
      <c r="N18" s="21"/>
      <c r="O18" s="22"/>
      <c r="P18" s="23" t="s">
        <v>47</v>
      </c>
      <c r="Q18" s="137">
        <f>C14</f>
        <v>3.3010805116082176E-2</v>
      </c>
      <c r="R18" s="25"/>
    </row>
    <row r="19" spans="2:18" x14ac:dyDescent="0.2">
      <c r="B19" s="46">
        <v>45108</v>
      </c>
      <c r="C19">
        <v>19.149999999999999</v>
      </c>
      <c r="D19" s="47">
        <v>5.2699999999999997E-2</v>
      </c>
      <c r="E19" s="1"/>
      <c r="F19" s="1"/>
      <c r="G19" s="1"/>
      <c r="H19" s="1"/>
      <c r="I19" s="8">
        <f>C19</f>
        <v>19.149999999999999</v>
      </c>
      <c r="J19" s="8"/>
      <c r="K19" s="48">
        <v>16000.4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17.72</v>
      </c>
      <c r="D20" s="47">
        <v>5.28E-2</v>
      </c>
      <c r="E20" s="52">
        <f>C20/C19-1</f>
        <v>-7.4673629242819839E-2</v>
      </c>
      <c r="F20" s="53">
        <f>D20/365*28</f>
        <v>4.0504109589041097E-3</v>
      </c>
      <c r="G20" s="51">
        <f>E20-F20</f>
        <v>-7.8724040201723952E-2</v>
      </c>
      <c r="H20" s="1"/>
      <c r="I20" s="8">
        <f t="shared" ref="I20:I42" si="0">C20</f>
        <v>17.72</v>
      </c>
      <c r="J20" s="52">
        <f>I20/I19-1</f>
        <v>-7.4673629242819839E-2</v>
      </c>
      <c r="K20" s="48">
        <v>15398.2</v>
      </c>
      <c r="L20" s="52">
        <f>K20/K19-1</f>
        <v>-3.7636559086022814E-2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17.760000000000002</v>
      </c>
      <c r="D21" s="47">
        <v>5.2900000000000003E-2</v>
      </c>
      <c r="E21" s="52">
        <f t="shared" ref="E21:E41" si="1">C21/C20-1</f>
        <v>2.2573363431153126E-3</v>
      </c>
      <c r="F21" s="53">
        <f t="shared" ref="F21:F41" si="2">D21/365*28</f>
        <v>4.0580821917808214E-3</v>
      </c>
      <c r="G21" s="51">
        <f t="shared" ref="G21:G41" si="3">E21-F21</f>
        <v>-1.8007458486655088E-3</v>
      </c>
      <c r="H21" s="1"/>
      <c r="I21" s="8">
        <f t="shared" si="0"/>
        <v>17.760000000000002</v>
      </c>
      <c r="J21" s="52">
        <f t="shared" ref="J21:J41" si="4">I21/I20-1</f>
        <v>2.2573363431153126E-3</v>
      </c>
      <c r="K21" s="48">
        <v>14919.2</v>
      </c>
      <c r="L21" s="52">
        <f t="shared" ref="L21:L41" si="5">K21/K20-1</f>
        <v>-3.1107532049200581E-2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18</v>
      </c>
      <c r="D22" s="47">
        <v>5.2900000000000003E-2</v>
      </c>
      <c r="E22" s="52">
        <f t="shared" si="1"/>
        <v>1.3513513513513375E-2</v>
      </c>
      <c r="F22" s="53">
        <f t="shared" si="2"/>
        <v>4.0580821917808214E-3</v>
      </c>
      <c r="G22" s="51">
        <f t="shared" si="3"/>
        <v>9.455431321732554E-3</v>
      </c>
      <c r="H22" s="1"/>
      <c r="I22" s="8">
        <f t="shared" si="0"/>
        <v>18</v>
      </c>
      <c r="J22" s="52">
        <f t="shared" si="4"/>
        <v>1.3513513513513375E-2</v>
      </c>
      <c r="K22" s="48">
        <v>16088.8</v>
      </c>
      <c r="L22" s="52">
        <f t="shared" si="5"/>
        <v>7.8395624430264155E-2</v>
      </c>
      <c r="M22" s="1"/>
      <c r="N22" s="28" t="s">
        <v>50</v>
      </c>
      <c r="O22" s="29"/>
      <c r="P22" s="33"/>
      <c r="Q22" s="56"/>
      <c r="R22" s="35">
        <f>IF(Q18&lt;Q19,0,1)</f>
        <v>0</v>
      </c>
    </row>
    <row r="23" spans="2:18" x14ac:dyDescent="0.2">
      <c r="B23" s="46">
        <v>45231</v>
      </c>
      <c r="C23">
        <v>10.62</v>
      </c>
      <c r="D23" s="47">
        <v>5.2900000000000003E-2</v>
      </c>
      <c r="E23" s="52">
        <f t="shared" si="1"/>
        <v>-0.41000000000000003</v>
      </c>
      <c r="F23" s="53">
        <f t="shared" si="2"/>
        <v>4.0580821917808214E-3</v>
      </c>
      <c r="G23" s="51">
        <f t="shared" si="3"/>
        <v>-0.41405808219178086</v>
      </c>
      <c r="H23" s="1"/>
      <c r="I23" s="8">
        <f t="shared" si="0"/>
        <v>10.62</v>
      </c>
      <c r="J23" s="52">
        <f t="shared" si="4"/>
        <v>-0.41000000000000003</v>
      </c>
      <c r="K23" s="48">
        <v>16852.900000000001</v>
      </c>
      <c r="L23" s="52">
        <f t="shared" si="5"/>
        <v>4.7492665705335613E-2</v>
      </c>
      <c r="M23" s="1"/>
      <c r="N23" s="57" t="s">
        <v>51</v>
      </c>
      <c r="O23" s="58" t="s">
        <v>52</v>
      </c>
      <c r="P23" s="59" t="s">
        <v>44</v>
      </c>
      <c r="Q23" s="128">
        <v>0.14000000000000001</v>
      </c>
      <c r="R23" s="61">
        <f>IF(Q23&gt;1.1,0,1)</f>
        <v>1</v>
      </c>
    </row>
    <row r="24" spans="2:18" x14ac:dyDescent="0.2">
      <c r="B24" s="46">
        <v>45261</v>
      </c>
      <c r="C24">
        <v>12.55</v>
      </c>
      <c r="D24" s="47">
        <v>5.33E-2</v>
      </c>
      <c r="E24" s="52">
        <f t="shared" si="1"/>
        <v>0.18173258003766501</v>
      </c>
      <c r="F24" s="53">
        <f t="shared" si="2"/>
        <v>4.0887671232876718E-3</v>
      </c>
      <c r="G24" s="51">
        <f t="shared" si="3"/>
        <v>0.17764381291437734</v>
      </c>
      <c r="H24" s="1"/>
      <c r="I24" s="8">
        <f t="shared" si="0"/>
        <v>12.55</v>
      </c>
      <c r="J24" s="52">
        <f t="shared" si="4"/>
        <v>0.18173258003766501</v>
      </c>
      <c r="K24" s="48">
        <v>16911.099999999999</v>
      </c>
      <c r="L24" s="52">
        <f t="shared" si="5"/>
        <v>3.4534115790159081E-3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5.89</v>
      </c>
      <c r="D25" s="47">
        <v>5.2699999999999997E-2</v>
      </c>
      <c r="E25" s="52">
        <f t="shared" si="1"/>
        <v>-0.53067729083665349</v>
      </c>
      <c r="F25" s="53">
        <f t="shared" si="2"/>
        <v>4.0427397260273962E-3</v>
      </c>
      <c r="G25" s="51">
        <f t="shared" si="3"/>
        <v>-0.53472003056268091</v>
      </c>
      <c r="H25" s="1"/>
      <c r="I25" s="8">
        <f t="shared" si="0"/>
        <v>5.89</v>
      </c>
      <c r="J25" s="52">
        <f t="shared" si="4"/>
        <v>-0.53067729083665349</v>
      </c>
      <c r="K25" s="48">
        <v>17607.400000000001</v>
      </c>
      <c r="L25" s="52">
        <f t="shared" si="5"/>
        <v>4.1174140061853048E-2</v>
      </c>
      <c r="M25" s="1"/>
      <c r="N25" s="30"/>
      <c r="O25" s="64"/>
      <c r="P25" s="30" t="s">
        <v>23</v>
      </c>
      <c r="Q25" s="84">
        <f>Q10</f>
        <v>-5.46</v>
      </c>
      <c r="R25" s="31"/>
    </row>
    <row r="26" spans="2:18" x14ac:dyDescent="0.2">
      <c r="B26" s="46">
        <v>45323</v>
      </c>
      <c r="C26">
        <v>6.13</v>
      </c>
      <c r="D26" s="47">
        <v>5.2999999999999999E-2</v>
      </c>
      <c r="E26" s="52">
        <f t="shared" si="1"/>
        <v>4.0747028862478718E-2</v>
      </c>
      <c r="F26" s="53">
        <f t="shared" si="2"/>
        <v>4.0657534246575349E-3</v>
      </c>
      <c r="G26" s="51">
        <f t="shared" si="3"/>
        <v>3.6681275437821181E-2</v>
      </c>
      <c r="H26" s="1"/>
      <c r="I26" s="8">
        <f t="shared" si="0"/>
        <v>6.13</v>
      </c>
      <c r="J26" s="52">
        <f t="shared" si="4"/>
        <v>4.0747028862478718E-2</v>
      </c>
      <c r="K26" s="48">
        <v>18312.7</v>
      </c>
      <c r="L26" s="52">
        <f t="shared" si="5"/>
        <v>4.0057021479605215E-2</v>
      </c>
      <c r="M26" s="1"/>
      <c r="N26" s="49" t="s">
        <v>54</v>
      </c>
      <c r="O26" s="64"/>
      <c r="P26" s="30" t="s">
        <v>55</v>
      </c>
      <c r="Q26" s="132">
        <f>1/Q25</f>
        <v>-0.18315018315018314</v>
      </c>
      <c r="R26" s="31">
        <f>IF(Q26&lt;Q19,0,1)</f>
        <v>0</v>
      </c>
    </row>
    <row r="27" spans="2:18" x14ac:dyDescent="0.2">
      <c r="B27" s="46">
        <v>45352</v>
      </c>
      <c r="C27">
        <v>6.1</v>
      </c>
      <c r="D27" s="47">
        <v>5.2900000000000003E-2</v>
      </c>
      <c r="E27" s="52">
        <f t="shared" si="1"/>
        <v>-4.8939641109299048E-3</v>
      </c>
      <c r="F27" s="53">
        <f t="shared" si="2"/>
        <v>4.0580821917808214E-3</v>
      </c>
      <c r="G27" s="51">
        <f t="shared" si="3"/>
        <v>-8.9520463027107262E-3</v>
      </c>
      <c r="H27" s="1"/>
      <c r="I27" s="8">
        <f t="shared" si="0"/>
        <v>6.1</v>
      </c>
      <c r="J27" s="52">
        <f t="shared" si="4"/>
        <v>-4.8939641109299048E-3</v>
      </c>
      <c r="K27" s="48">
        <v>17603.3</v>
      </c>
      <c r="L27" s="52">
        <f t="shared" si="5"/>
        <v>-3.8738143474201014E-2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5.5</v>
      </c>
      <c r="D28" s="47">
        <v>5.28E-2</v>
      </c>
      <c r="E28" s="52">
        <f t="shared" si="1"/>
        <v>-9.8360655737704916E-2</v>
      </c>
      <c r="F28" s="53">
        <f t="shared" si="2"/>
        <v>4.0504109589041097E-3</v>
      </c>
      <c r="G28" s="51">
        <f t="shared" si="3"/>
        <v>-0.10241106669660903</v>
      </c>
      <c r="H28" s="1"/>
      <c r="I28" s="8">
        <f t="shared" si="0"/>
        <v>5.5</v>
      </c>
      <c r="J28" s="52">
        <f t="shared" si="4"/>
        <v>-9.8360655737704916E-2</v>
      </c>
      <c r="K28" s="48">
        <v>18083.7</v>
      </c>
      <c r="L28" s="52">
        <f t="shared" si="5"/>
        <v>2.7290337607153381E-2</v>
      </c>
      <c r="M28" s="1"/>
      <c r="N28" s="30"/>
      <c r="O28" s="1"/>
      <c r="P28" s="30" t="s">
        <v>57</v>
      </c>
      <c r="Q28" s="51">
        <f>Q18</f>
        <v>3.3010805116082176E-2</v>
      </c>
      <c r="R28" s="31"/>
    </row>
    <row r="29" spans="2:18" x14ac:dyDescent="0.2">
      <c r="B29" s="46">
        <v>45413</v>
      </c>
      <c r="C29">
        <v>6.3</v>
      </c>
      <c r="D29" s="47">
        <v>5.2699999999999997E-2</v>
      </c>
      <c r="E29" s="52">
        <f t="shared" si="1"/>
        <v>0.1454545454545455</v>
      </c>
      <c r="F29" s="53">
        <f t="shared" si="2"/>
        <v>4.0427397260273962E-3</v>
      </c>
      <c r="G29" s="51">
        <f t="shared" si="3"/>
        <v>0.14141180572851811</v>
      </c>
      <c r="H29" s="1"/>
      <c r="I29" s="8">
        <f t="shared" si="0"/>
        <v>6.3</v>
      </c>
      <c r="J29" s="52">
        <f t="shared" si="4"/>
        <v>0.1454545454545455</v>
      </c>
      <c r="K29" s="48">
        <v>18026.5</v>
      </c>
      <c r="L29" s="52">
        <f t="shared" si="5"/>
        <v>-3.1630695045815616E-3</v>
      </c>
      <c r="M29" s="1"/>
      <c r="N29" s="49" t="s">
        <v>117</v>
      </c>
      <c r="O29" s="1"/>
      <c r="P29" s="30" t="s">
        <v>58</v>
      </c>
      <c r="Q29" s="138">
        <v>-0.27610000000000001</v>
      </c>
      <c r="R29" s="31"/>
    </row>
    <row r="30" spans="2:18" ht="17" thickBot="1" x14ac:dyDescent="0.25">
      <c r="B30" s="46">
        <v>45444</v>
      </c>
      <c r="C30">
        <v>6.54</v>
      </c>
      <c r="D30" s="47">
        <v>5.2699999999999997E-2</v>
      </c>
      <c r="E30" s="52">
        <f t="shared" si="1"/>
        <v>3.8095238095238182E-2</v>
      </c>
      <c r="F30" s="53">
        <f t="shared" si="2"/>
        <v>4.0427397260273962E-3</v>
      </c>
      <c r="G30" s="51">
        <f t="shared" si="3"/>
        <v>3.4052498369210787E-2</v>
      </c>
      <c r="I30" s="8">
        <f t="shared" si="0"/>
        <v>6.54</v>
      </c>
      <c r="J30" s="52">
        <f t="shared" si="4"/>
        <v>3.8095238095238182E-2</v>
      </c>
      <c r="K30" s="48">
        <v>18710</v>
      </c>
      <c r="L30" s="52">
        <f t="shared" si="5"/>
        <v>3.7916400854297816E-2</v>
      </c>
      <c r="M30" s="1"/>
      <c r="N30" s="1"/>
      <c r="O30" s="1"/>
      <c r="P30" s="33"/>
      <c r="Q30" s="68">
        <f>Q28-Q29</f>
        <v>0.30911080511608219</v>
      </c>
      <c r="R30" s="31">
        <f>IF(Q28&lt;Q29,0,1)</f>
        <v>1</v>
      </c>
    </row>
    <row r="31" spans="2:18" ht="17" thickBot="1" x14ac:dyDescent="0.25">
      <c r="B31" s="46">
        <v>45474</v>
      </c>
      <c r="C31">
        <v>6.89</v>
      </c>
      <c r="D31" s="47">
        <v>5.28E-2</v>
      </c>
      <c r="E31" s="52">
        <f t="shared" si="1"/>
        <v>5.3516819571865382E-2</v>
      </c>
      <c r="F31" s="53">
        <f t="shared" si="2"/>
        <v>4.0504109589041097E-3</v>
      </c>
      <c r="G31" s="51">
        <f t="shared" si="3"/>
        <v>4.9466408612961268E-2</v>
      </c>
      <c r="H31" s="1"/>
      <c r="I31" s="8">
        <f t="shared" si="0"/>
        <v>6.89</v>
      </c>
      <c r="J31" s="52">
        <f t="shared" si="4"/>
        <v>5.3516819571865382E-2</v>
      </c>
      <c r="K31" s="48">
        <v>19292.2</v>
      </c>
      <c r="L31" s="52">
        <f t="shared" si="5"/>
        <v>3.1117049706039568E-2</v>
      </c>
      <c r="M31" s="1"/>
      <c r="N31" s="1"/>
      <c r="O31" s="1"/>
      <c r="P31" s="30"/>
      <c r="Q31" s="69"/>
      <c r="R31" s="133">
        <f>SUM(R10:R30)/8</f>
        <v>0.625</v>
      </c>
    </row>
    <row r="32" spans="2:18" x14ac:dyDescent="0.2">
      <c r="B32" s="46">
        <v>45505</v>
      </c>
      <c r="C32">
        <v>4.08</v>
      </c>
      <c r="D32" s="47">
        <v>5.1799999999999999E-2</v>
      </c>
      <c r="E32" s="52">
        <f t="shared" si="1"/>
        <v>-0.4078374455732946</v>
      </c>
      <c r="F32" s="53">
        <f t="shared" si="2"/>
        <v>3.9736986301369863E-3</v>
      </c>
      <c r="G32" s="51">
        <f t="shared" si="3"/>
        <v>-0.41181114420343157</v>
      </c>
      <c r="H32" s="1"/>
      <c r="I32" s="8">
        <f t="shared" si="0"/>
        <v>4.08</v>
      </c>
      <c r="J32" s="52">
        <f t="shared" si="4"/>
        <v>-0.4078374455732946</v>
      </c>
      <c r="K32" s="48">
        <v>19516.400000000001</v>
      </c>
      <c r="L32" s="52">
        <f t="shared" si="5"/>
        <v>1.1621276992774376E-2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3.93</v>
      </c>
      <c r="D33" s="47">
        <v>4.7399999999999998E-2</v>
      </c>
      <c r="E33" s="52">
        <f t="shared" si="1"/>
        <v>-3.6764705882352922E-2</v>
      </c>
      <c r="F33" s="53">
        <f t="shared" si="2"/>
        <v>3.6361643835616433E-3</v>
      </c>
      <c r="G33" s="51">
        <f t="shared" si="3"/>
        <v>-4.0400870265914567E-2</v>
      </c>
      <c r="H33" s="1"/>
      <c r="I33" s="8">
        <f t="shared" si="0"/>
        <v>3.93</v>
      </c>
      <c r="J33" s="52">
        <f t="shared" si="4"/>
        <v>-3.6764705882352922E-2</v>
      </c>
      <c r="K33" s="48">
        <v>19239</v>
      </c>
      <c r="L33" s="52">
        <f t="shared" si="5"/>
        <v>-1.4213686950462212E-2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2.5499999999999998</v>
      </c>
      <c r="D34" s="47">
        <v>4.58E-2</v>
      </c>
      <c r="E34" s="52">
        <f t="shared" si="1"/>
        <v>-0.35114503816793896</v>
      </c>
      <c r="F34" s="53">
        <f t="shared" si="2"/>
        <v>3.5134246575342465E-3</v>
      </c>
      <c r="G34" s="51">
        <f t="shared" si="3"/>
        <v>-0.3546584628254732</v>
      </c>
      <c r="H34" s="1"/>
      <c r="I34" s="8">
        <f t="shared" si="0"/>
        <v>2.5499999999999998</v>
      </c>
      <c r="J34" s="52">
        <f t="shared" si="4"/>
        <v>-0.35114503816793896</v>
      </c>
      <c r="K34" s="48">
        <v>20272</v>
      </c>
      <c r="L34" s="52">
        <f t="shared" si="5"/>
        <v>5.3693019387702101E-2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2.09</v>
      </c>
      <c r="D35" s="47">
        <v>4.5499999999999999E-2</v>
      </c>
      <c r="E35" s="52">
        <f t="shared" si="1"/>
        <v>-0.18039215686274512</v>
      </c>
      <c r="F35" s="53">
        <f t="shared" si="2"/>
        <v>3.4904109589041091E-3</v>
      </c>
      <c r="G35" s="51">
        <f t="shared" si="3"/>
        <v>-0.18388256782164925</v>
      </c>
      <c r="H35" s="1"/>
      <c r="I35" s="8">
        <f t="shared" si="0"/>
        <v>2.09</v>
      </c>
      <c r="J35" s="52">
        <f t="shared" si="4"/>
        <v>-0.18039215686274512</v>
      </c>
      <c r="K35" s="48">
        <v>19097.099999999999</v>
      </c>
      <c r="L35" s="52">
        <f t="shared" si="5"/>
        <v>-5.7956787687450717E-2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1.9</v>
      </c>
      <c r="D36" s="47">
        <v>4.2200000000000001E-2</v>
      </c>
      <c r="E36" s="52">
        <f t="shared" si="1"/>
        <v>-9.0909090909090939E-2</v>
      </c>
      <c r="F36" s="53">
        <f t="shared" si="2"/>
        <v>3.2372602739726029E-3</v>
      </c>
      <c r="G36" s="51">
        <f t="shared" si="3"/>
        <v>-9.414635118306354E-2</v>
      </c>
      <c r="H36" s="1"/>
      <c r="I36" s="8">
        <f t="shared" si="0"/>
        <v>1.9</v>
      </c>
      <c r="J36" s="52">
        <f t="shared" si="4"/>
        <v>-9.0909090909090939E-2</v>
      </c>
      <c r="K36" s="48">
        <v>19998.8</v>
      </c>
      <c r="L36" s="52">
        <f t="shared" si="5"/>
        <v>4.7216593095286807E-2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3.34</v>
      </c>
      <c r="D37" s="47">
        <v>4.2599999999999999E-2</v>
      </c>
      <c r="E37" s="52">
        <f t="shared" si="1"/>
        <v>0.75789473684210518</v>
      </c>
      <c r="F37" s="53">
        <f t="shared" si="2"/>
        <v>3.267945205479452E-3</v>
      </c>
      <c r="G37" s="51">
        <f t="shared" si="3"/>
        <v>0.75462679163662572</v>
      </c>
      <c r="H37" s="1"/>
      <c r="I37" s="8">
        <f t="shared" si="0"/>
        <v>3.34</v>
      </c>
      <c r="J37" s="52">
        <f t="shared" si="4"/>
        <v>0.75789473684210518</v>
      </c>
      <c r="K37" s="48">
        <v>20028.2</v>
      </c>
      <c r="L37" s="52">
        <f t="shared" si="5"/>
        <v>1.4700882052924857E-3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3.12</v>
      </c>
      <c r="D38" s="47">
        <v>4.24E-2</v>
      </c>
      <c r="E38" s="52">
        <f t="shared" si="1"/>
        <v>-6.5868263473053856E-2</v>
      </c>
      <c r="F38" s="53">
        <f t="shared" si="2"/>
        <v>3.2526027397260277E-3</v>
      </c>
      <c r="G38" s="51">
        <f t="shared" si="3"/>
        <v>-6.912086621277988E-2</v>
      </c>
      <c r="H38" s="1"/>
      <c r="I38" s="8">
        <f t="shared" si="0"/>
        <v>3.12</v>
      </c>
      <c r="J38" s="52">
        <f t="shared" si="4"/>
        <v>-6.5868263473053856E-2</v>
      </c>
      <c r="K38" s="48">
        <v>19395.900000000001</v>
      </c>
      <c r="L38" s="52">
        <f t="shared" si="5"/>
        <v>-3.1570485615282418E-2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4.33</v>
      </c>
      <c r="D39" s="47">
        <v>4.24E-2</v>
      </c>
      <c r="E39" s="52">
        <f t="shared" si="1"/>
        <v>0.38782051282051277</v>
      </c>
      <c r="F39" s="53">
        <f t="shared" si="2"/>
        <v>3.2526027397260277E-3</v>
      </c>
      <c r="G39" s="51">
        <f t="shared" si="3"/>
        <v>0.38456791008078672</v>
      </c>
      <c r="H39" s="1"/>
      <c r="I39" s="8">
        <f t="shared" si="0"/>
        <v>4.33</v>
      </c>
      <c r="J39" s="52">
        <f t="shared" si="4"/>
        <v>0.38782051282051277</v>
      </c>
      <c r="K39" s="48">
        <v>19114.2</v>
      </c>
      <c r="L39" s="52">
        <f t="shared" si="5"/>
        <v>-1.4523687995916745E-2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4.26</v>
      </c>
      <c r="D40" s="47">
        <v>4.2299999999999997E-2</v>
      </c>
      <c r="E40" s="52">
        <f t="shared" si="1"/>
        <v>-1.616628175519641E-2</v>
      </c>
      <c r="F40" s="53">
        <f t="shared" si="2"/>
        <v>3.2449315068493151E-3</v>
      </c>
      <c r="G40" s="51">
        <f t="shared" si="3"/>
        <v>-1.9411213262045725E-2</v>
      </c>
      <c r="H40" s="1"/>
      <c r="I40" s="8">
        <f t="shared" si="0"/>
        <v>4.26</v>
      </c>
      <c r="J40" s="52">
        <f t="shared" si="4"/>
        <v>-1.616628175519641E-2</v>
      </c>
      <c r="K40" s="48">
        <v>19783.8</v>
      </c>
      <c r="L40" s="52">
        <f t="shared" si="5"/>
        <v>3.5031547226669124E-2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2.2200000000000002</v>
      </c>
      <c r="D41" s="47">
        <v>4.2200000000000001E-2</v>
      </c>
      <c r="E41" s="52">
        <f t="shared" si="1"/>
        <v>-0.47887323943661964</v>
      </c>
      <c r="F41" s="53">
        <f t="shared" si="2"/>
        <v>3.2372602739726029E-3</v>
      </c>
      <c r="G41" s="51">
        <f t="shared" si="3"/>
        <v>-0.48211049971059222</v>
      </c>
      <c r="H41" s="1"/>
      <c r="I41" s="8">
        <f t="shared" si="0"/>
        <v>2.2200000000000002</v>
      </c>
      <c r="J41" s="52">
        <f t="shared" si="4"/>
        <v>-0.47887323943661964</v>
      </c>
      <c r="K41" s="48">
        <v>19981.099999999999</v>
      </c>
      <c r="L41" s="52">
        <f t="shared" si="5"/>
        <v>9.9728060332191504E-3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C42">
        <v>2.15</v>
      </c>
      <c r="D42" s="47"/>
      <c r="E42" s="52"/>
      <c r="F42" s="53"/>
      <c r="G42" s="51"/>
      <c r="H42" s="1"/>
      <c r="I42" s="8">
        <f t="shared" si="0"/>
        <v>2.15</v>
      </c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-5.4922820599413051E-2</v>
      </c>
      <c r="H43" s="1"/>
      <c r="I43" s="1"/>
      <c r="J43" s="1"/>
      <c r="K43" s="48" t="s">
        <v>65</v>
      </c>
      <c r="L43" s="82">
        <f>COVAR(J20:J41,L20:L41)</f>
        <v>-2.1669403798501791E-3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1.3119365558916414E-3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-1.651711258535246</v>
      </c>
    </row>
  </sheetData>
  <mergeCells count="1">
    <mergeCell ref="B4:D4"/>
  </mergeCells>
  <conditionalFormatting sqref="S10">
    <cfRule type="expression" dxfId="113" priority="19">
      <formula>IF($Q$10&gt;$Q$11,1,0)</formula>
    </cfRule>
  </conditionalFormatting>
  <conditionalFormatting sqref="Q10">
    <cfRule type="expression" dxfId="112" priority="10">
      <formula>IF($Q$10&lt;$Q$11,1,0)</formula>
    </cfRule>
    <cfRule type="expression" dxfId="111" priority="18">
      <formula>IF($Q$10&gt;$Q$11,1,0)</formula>
    </cfRule>
  </conditionalFormatting>
  <conditionalFormatting sqref="Q12">
    <cfRule type="expression" dxfId="110" priority="9">
      <formula>IF($Q$12&gt;$Q$13,1,0)</formula>
    </cfRule>
    <cfRule type="expression" dxfId="109" priority="17">
      <formula>IF($Q$12&lt;$Q$13,1,0)</formula>
    </cfRule>
  </conditionalFormatting>
  <conditionalFormatting sqref="Q14">
    <cfRule type="expression" dxfId="108" priority="16">
      <formula>IF($Q$15="Sell",1,0)</formula>
    </cfRule>
  </conditionalFormatting>
  <conditionalFormatting sqref="Q14:Q15">
    <cfRule type="expression" dxfId="107" priority="15">
      <formula>IF($Q$15="Buy",1,0)</formula>
    </cfRule>
  </conditionalFormatting>
  <conditionalFormatting sqref="Q16">
    <cfRule type="expression" dxfId="106" priority="13">
      <formula>IF($Q$16&lt;$Q$17,1,0)</formula>
    </cfRule>
    <cfRule type="expression" dxfId="105" priority="14">
      <formula>IF($Q$16&gt;$Q$17,1,0)</formula>
    </cfRule>
  </conditionalFormatting>
  <conditionalFormatting sqref="Q18">
    <cfRule type="expression" dxfId="104" priority="11">
      <formula>IF($Q$18&lt;$Q$19,1,0)</formula>
    </cfRule>
    <cfRule type="expression" dxfId="103" priority="12">
      <formula>IF($Q$18&gt;$Q$19,1,0)</formula>
    </cfRule>
  </conditionalFormatting>
  <conditionalFormatting sqref="Q23">
    <cfRule type="expression" dxfId="102" priority="7">
      <formula>IF($Q$23&lt;1.1,1,0)</formula>
    </cfRule>
    <cfRule type="expression" dxfId="101" priority="8">
      <formula>IF($Q$23&gt;1.1,1,0)</formula>
    </cfRule>
  </conditionalFormatting>
  <conditionalFormatting sqref="Q26">
    <cfRule type="expression" dxfId="100" priority="5">
      <formula>IF($Q$26&lt;$Q$19,1,0)</formula>
    </cfRule>
    <cfRule type="expression" dxfId="99" priority="6">
      <formula>IF($Q$26&gt;$Q$19,1,0)</formula>
    </cfRule>
  </conditionalFormatting>
  <conditionalFormatting sqref="Q30">
    <cfRule type="expression" dxfId="98" priority="3">
      <formula>IF($Q$28&lt;$Q$29,1,0)</formula>
    </cfRule>
    <cfRule type="expression" dxfId="97" priority="4">
      <formula>IF($Q$28&gt;$Q$29,1,0)</formula>
    </cfRule>
  </conditionalFormatting>
  <conditionalFormatting sqref="R31">
    <cfRule type="expression" dxfId="96" priority="1">
      <formula>IF($R$31&lt;0.485,1,0)</formula>
    </cfRule>
    <cfRule type="expression" dxfId="95" priority="2">
      <formula>IF($R$31&gt;0.49,1,0)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6F768-C3E8-4D06-9F51-249C078C6E6D}">
  <sheetPr codeName="Sheet12"/>
  <dimension ref="B2:R45"/>
  <sheetViews>
    <sheetView zoomScale="85" zoomScaleNormal="85" workbookViewId="0">
      <selection activeCell="R11" sqref="R11:R30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133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134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OPFI</v>
      </c>
      <c r="R5" s="8"/>
    </row>
    <row r="6" spans="2:18" x14ac:dyDescent="0.2">
      <c r="B6" s="1" t="s">
        <v>4</v>
      </c>
      <c r="C6" s="1" t="s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NYSE</v>
      </c>
      <c r="R6" s="8"/>
    </row>
    <row r="7" spans="2:18" x14ac:dyDescent="0.2">
      <c r="B7" s="1" t="s">
        <v>7</v>
      </c>
      <c r="C7" s="13">
        <v>45822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12.21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-21.33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-0.53</v>
      </c>
      <c r="R11" s="31">
        <f>IF(Q10&gt;Q11,0,1)</f>
        <v>1</v>
      </c>
    </row>
    <row r="12" spans="2:18" x14ac:dyDescent="0.2">
      <c r="B12" s="1" t="s">
        <v>26</v>
      </c>
      <c r="C12" s="32">
        <f>Q23</f>
        <v>1.75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0.38</v>
      </c>
      <c r="R12" s="25"/>
    </row>
    <row r="13" spans="2:18" x14ac:dyDescent="0.2">
      <c r="B13" s="1" t="s">
        <v>30</v>
      </c>
      <c r="C13" s="26">
        <f>G43</f>
        <v>0.10699507735360494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0.14000000000000001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0.22794138536880865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-0.38</v>
      </c>
      <c r="R14" s="31"/>
    </row>
    <row r="15" spans="2:18" ht="19" x14ac:dyDescent="0.25">
      <c r="B15" s="1" t="s">
        <v>36</v>
      </c>
      <c r="C15" s="39">
        <f>C10*(1+C14)</f>
        <v>14.993164315353154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f>IF(Q15="Sell",0,1)</f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0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35.9</v>
      </c>
      <c r="R17" s="42">
        <f>IF(Q16&lt;Q17,0,1)</f>
        <v>0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OppFi Inc</v>
      </c>
      <c r="J18" s="34" t="s">
        <v>45</v>
      </c>
      <c r="K18" s="34" t="str">
        <f>_xlfn.CONCAT("Precio ",C6)</f>
        <v>Precio NYSE</v>
      </c>
      <c r="L18" s="34" t="s">
        <v>46</v>
      </c>
      <c r="M18" s="1"/>
      <c r="N18" s="21"/>
      <c r="O18" s="22"/>
      <c r="P18" s="23" t="s">
        <v>47</v>
      </c>
      <c r="Q18" s="137">
        <f>C14</f>
        <v>0.22794138536880865</v>
      </c>
      <c r="R18" s="25"/>
    </row>
    <row r="19" spans="2:18" x14ac:dyDescent="0.2">
      <c r="B19" s="46">
        <v>45108</v>
      </c>
      <c r="C19">
        <v>2.4740000000000002</v>
      </c>
      <c r="D19" s="47">
        <v>5.2699999999999997E-2</v>
      </c>
      <c r="E19" s="1"/>
      <c r="F19" s="1"/>
      <c r="G19" s="1"/>
      <c r="H19" s="1"/>
      <c r="I19" s="8">
        <f>C19</f>
        <v>2.4740000000000002</v>
      </c>
      <c r="J19" s="8"/>
      <c r="K19" s="48">
        <v>16000.4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2.4159999999999999</v>
      </c>
      <c r="D20" s="47">
        <v>5.28E-2</v>
      </c>
      <c r="E20" s="52">
        <f>C20/C19-1</f>
        <v>-2.3443815683104385E-2</v>
      </c>
      <c r="F20" s="53">
        <f>D20/365*28</f>
        <v>4.0504109589041097E-3</v>
      </c>
      <c r="G20" s="51">
        <f>E20-F20</f>
        <v>-2.7494226642008495E-2</v>
      </c>
      <c r="H20" s="1"/>
      <c r="I20" s="8">
        <f t="shared" ref="I20:I41" si="0">C20</f>
        <v>2.4159999999999999</v>
      </c>
      <c r="J20" s="52">
        <f>I20/I19-1</f>
        <v>-2.3443815683104385E-2</v>
      </c>
      <c r="K20" s="48">
        <v>15398.2</v>
      </c>
      <c r="L20" s="52">
        <f>K20/K19-1</f>
        <v>-3.7636559086022814E-2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2.1379999999999999</v>
      </c>
      <c r="D21" s="47">
        <v>5.2900000000000003E-2</v>
      </c>
      <c r="E21" s="52">
        <f t="shared" ref="E21:E41" si="1">C21/C20-1</f>
        <v>-0.11506622516556297</v>
      </c>
      <c r="F21" s="53">
        <f t="shared" ref="F21:F41" si="2">D21/365*28</f>
        <v>4.0580821917808214E-3</v>
      </c>
      <c r="G21" s="51">
        <f t="shared" ref="G21:G41" si="3">E21-F21</f>
        <v>-0.11912430735734379</v>
      </c>
      <c r="H21" s="1"/>
      <c r="I21" s="8">
        <f t="shared" si="0"/>
        <v>2.1379999999999999</v>
      </c>
      <c r="J21" s="52">
        <f t="shared" ref="J21:J41" si="4">I21/I20-1</f>
        <v>-0.11506622516556297</v>
      </c>
      <c r="K21" s="48">
        <v>14919.2</v>
      </c>
      <c r="L21" s="52">
        <f t="shared" ref="L21:L41" si="5">K21/K20-1</f>
        <v>-3.1107532049200581E-2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3.395</v>
      </c>
      <c r="D22" s="47">
        <v>5.2900000000000003E-2</v>
      </c>
      <c r="E22" s="52">
        <f t="shared" si="1"/>
        <v>0.587932647333957</v>
      </c>
      <c r="F22" s="53">
        <f t="shared" si="2"/>
        <v>4.0580821917808214E-3</v>
      </c>
      <c r="G22" s="51">
        <f t="shared" si="3"/>
        <v>0.58387456514217617</v>
      </c>
      <c r="H22" s="1"/>
      <c r="I22" s="8">
        <f t="shared" si="0"/>
        <v>3.395</v>
      </c>
      <c r="J22" s="52">
        <f t="shared" si="4"/>
        <v>0.587932647333957</v>
      </c>
      <c r="K22" s="48">
        <v>16088.8</v>
      </c>
      <c r="L22" s="52">
        <f t="shared" si="5"/>
        <v>7.8395624430264155E-2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C23">
        <v>4.91</v>
      </c>
      <c r="D23" s="47">
        <v>5.2900000000000003E-2</v>
      </c>
      <c r="E23" s="52">
        <f t="shared" si="1"/>
        <v>0.44624447717231219</v>
      </c>
      <c r="F23" s="53">
        <f t="shared" si="2"/>
        <v>4.0580821917808214E-3</v>
      </c>
      <c r="G23" s="51">
        <f t="shared" si="3"/>
        <v>0.44218639498053136</v>
      </c>
      <c r="H23" s="1"/>
      <c r="I23" s="8">
        <f t="shared" si="0"/>
        <v>4.91</v>
      </c>
      <c r="J23" s="52">
        <f t="shared" si="4"/>
        <v>0.44624447717231219</v>
      </c>
      <c r="K23" s="48">
        <v>16852.900000000001</v>
      </c>
      <c r="L23" s="52">
        <f t="shared" si="5"/>
        <v>4.7492665705335613E-2</v>
      </c>
      <c r="M23" s="1"/>
      <c r="N23" s="57" t="s">
        <v>51</v>
      </c>
      <c r="O23" s="58" t="s">
        <v>52</v>
      </c>
      <c r="P23" s="59" t="s">
        <v>44</v>
      </c>
      <c r="Q23" s="128">
        <v>1.75</v>
      </c>
      <c r="R23" s="61">
        <f>IF(Q23&gt;1.1,0,1)</f>
        <v>0</v>
      </c>
    </row>
    <row r="24" spans="2:18" x14ac:dyDescent="0.2">
      <c r="B24" s="46">
        <v>45261</v>
      </c>
      <c r="C24">
        <v>3.0779999999999998</v>
      </c>
      <c r="D24" s="47">
        <v>5.33E-2</v>
      </c>
      <c r="E24" s="52">
        <f t="shared" si="1"/>
        <v>-0.37311608961303466</v>
      </c>
      <c r="F24" s="53">
        <f t="shared" si="2"/>
        <v>4.0887671232876718E-3</v>
      </c>
      <c r="G24" s="51">
        <f t="shared" si="3"/>
        <v>-0.37720485673632231</v>
      </c>
      <c r="H24" s="1"/>
      <c r="I24" s="8">
        <f t="shared" si="0"/>
        <v>3.0779999999999998</v>
      </c>
      <c r="J24" s="52">
        <f t="shared" si="4"/>
        <v>-0.37311608961303466</v>
      </c>
      <c r="K24" s="48">
        <v>16911.099999999999</v>
      </c>
      <c r="L24" s="52">
        <f t="shared" si="5"/>
        <v>3.4534115790159081E-3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3.375</v>
      </c>
      <c r="D25" s="47">
        <v>5.2699999999999997E-2</v>
      </c>
      <c r="E25" s="52">
        <f t="shared" si="1"/>
        <v>9.6491228070175517E-2</v>
      </c>
      <c r="F25" s="53">
        <f t="shared" si="2"/>
        <v>4.0427397260273962E-3</v>
      </c>
      <c r="G25" s="51">
        <f t="shared" si="3"/>
        <v>9.2448488344148122E-2</v>
      </c>
      <c r="H25" s="1"/>
      <c r="I25" s="8">
        <f t="shared" si="0"/>
        <v>3.375</v>
      </c>
      <c r="J25" s="52">
        <f t="shared" si="4"/>
        <v>9.6491228070175517E-2</v>
      </c>
      <c r="K25" s="48">
        <v>17607.400000000001</v>
      </c>
      <c r="L25" s="52">
        <f t="shared" si="5"/>
        <v>4.1174140061853048E-2</v>
      </c>
      <c r="M25" s="1"/>
      <c r="N25" s="30"/>
      <c r="O25" s="64"/>
      <c r="P25" s="30" t="s">
        <v>23</v>
      </c>
      <c r="Q25" s="84">
        <f>Q10</f>
        <v>-21.33</v>
      </c>
      <c r="R25" s="31"/>
    </row>
    <row r="26" spans="2:18" x14ac:dyDescent="0.2">
      <c r="B26" s="46">
        <v>45323</v>
      </c>
      <c r="C26">
        <v>2.3969999999999998</v>
      </c>
      <c r="D26" s="47">
        <v>5.2999999999999999E-2</v>
      </c>
      <c r="E26" s="52">
        <f t="shared" si="1"/>
        <v>-0.2897777777777778</v>
      </c>
      <c r="F26" s="53">
        <f t="shared" si="2"/>
        <v>4.0657534246575349E-3</v>
      </c>
      <c r="G26" s="51">
        <f t="shared" si="3"/>
        <v>-0.29384353120243534</v>
      </c>
      <c r="H26" s="1"/>
      <c r="I26" s="8">
        <f t="shared" si="0"/>
        <v>2.3969999999999998</v>
      </c>
      <c r="J26" s="52">
        <f t="shared" si="4"/>
        <v>-0.2897777777777778</v>
      </c>
      <c r="K26" s="48">
        <v>18312.7</v>
      </c>
      <c r="L26" s="52">
        <f t="shared" si="5"/>
        <v>4.0057021479605215E-2</v>
      </c>
      <c r="M26" s="1"/>
      <c r="N26" s="49" t="s">
        <v>54</v>
      </c>
      <c r="O26" s="64"/>
      <c r="P26" s="30" t="s">
        <v>55</v>
      </c>
      <c r="Q26" s="132">
        <f>1/Q25</f>
        <v>-4.6882325363338022E-2</v>
      </c>
      <c r="R26" s="31">
        <f>IF(Q26&lt;Q19,0,1)</f>
        <v>0</v>
      </c>
    </row>
    <row r="27" spans="2:18" x14ac:dyDescent="0.2">
      <c r="B27" s="46">
        <v>45352</v>
      </c>
      <c r="C27">
        <v>2.67</v>
      </c>
      <c r="D27" s="47">
        <v>5.2900000000000003E-2</v>
      </c>
      <c r="E27" s="52">
        <f t="shared" si="1"/>
        <v>0.11389236545682113</v>
      </c>
      <c r="F27" s="53">
        <f t="shared" si="2"/>
        <v>4.0580821917808214E-3</v>
      </c>
      <c r="G27" s="51">
        <f t="shared" si="3"/>
        <v>0.10983428326504031</v>
      </c>
      <c r="H27" s="1"/>
      <c r="I27" s="8">
        <f t="shared" si="0"/>
        <v>2.67</v>
      </c>
      <c r="J27" s="52">
        <f t="shared" si="4"/>
        <v>0.11389236545682113</v>
      </c>
      <c r="K27" s="48">
        <v>17603.3</v>
      </c>
      <c r="L27" s="52">
        <f t="shared" si="5"/>
        <v>-3.8738143474201014E-2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3.23</v>
      </c>
      <c r="D28" s="47">
        <v>5.28E-2</v>
      </c>
      <c r="E28" s="52">
        <f t="shared" si="1"/>
        <v>0.20973782771535587</v>
      </c>
      <c r="F28" s="53">
        <f t="shared" si="2"/>
        <v>4.0504109589041097E-3</v>
      </c>
      <c r="G28" s="51">
        <f t="shared" si="3"/>
        <v>0.20568741675645177</v>
      </c>
      <c r="H28" s="1"/>
      <c r="I28" s="8">
        <f t="shared" si="0"/>
        <v>3.23</v>
      </c>
      <c r="J28" s="52">
        <f t="shared" si="4"/>
        <v>0.20973782771535587</v>
      </c>
      <c r="K28" s="48">
        <v>18083.7</v>
      </c>
      <c r="L28" s="52">
        <f t="shared" si="5"/>
        <v>2.7290337607153381E-2</v>
      </c>
      <c r="M28" s="1"/>
      <c r="N28" s="30"/>
      <c r="O28" s="1"/>
      <c r="P28" s="30" t="s">
        <v>57</v>
      </c>
      <c r="Q28" s="51">
        <f>Q18</f>
        <v>0.22794138536880865</v>
      </c>
      <c r="R28" s="31"/>
    </row>
    <row r="29" spans="2:18" x14ac:dyDescent="0.2">
      <c r="B29" s="46">
        <v>45413</v>
      </c>
      <c r="C29">
        <v>3.39</v>
      </c>
      <c r="D29" s="47">
        <v>5.2699999999999997E-2</v>
      </c>
      <c r="E29" s="52">
        <f t="shared" si="1"/>
        <v>4.9535603715170407E-2</v>
      </c>
      <c r="F29" s="53">
        <f t="shared" si="2"/>
        <v>4.0427397260273962E-3</v>
      </c>
      <c r="G29" s="51">
        <f t="shared" si="3"/>
        <v>4.5492863989143012E-2</v>
      </c>
      <c r="H29" s="1"/>
      <c r="I29" s="8">
        <f t="shared" si="0"/>
        <v>3.39</v>
      </c>
      <c r="J29" s="52">
        <f t="shared" si="4"/>
        <v>4.9535603715170407E-2</v>
      </c>
      <c r="K29" s="48">
        <v>18026.5</v>
      </c>
      <c r="L29" s="52">
        <f t="shared" si="5"/>
        <v>-3.1630695045815616E-3</v>
      </c>
      <c r="M29" s="1"/>
      <c r="N29" s="49" t="s">
        <v>117</v>
      </c>
      <c r="O29" s="1"/>
      <c r="P29" s="30" t="s">
        <v>58</v>
      </c>
      <c r="Q29" s="67">
        <v>4.1099999999999999E-3</v>
      </c>
      <c r="R29" s="31"/>
    </row>
    <row r="30" spans="2:18" ht="17" thickBot="1" x14ac:dyDescent="0.25">
      <c r="B30" s="46">
        <v>45444</v>
      </c>
      <c r="C30">
        <v>3.86</v>
      </c>
      <c r="D30" s="47">
        <v>5.2699999999999997E-2</v>
      </c>
      <c r="E30" s="52">
        <f t="shared" si="1"/>
        <v>0.13864306784660752</v>
      </c>
      <c r="F30" s="53">
        <f t="shared" si="2"/>
        <v>4.0427397260273962E-3</v>
      </c>
      <c r="G30" s="51">
        <f t="shared" si="3"/>
        <v>0.13460032812058012</v>
      </c>
      <c r="I30" s="8">
        <f t="shared" si="0"/>
        <v>3.86</v>
      </c>
      <c r="J30" s="52">
        <f t="shared" si="4"/>
        <v>0.13864306784660752</v>
      </c>
      <c r="K30" s="48">
        <v>18710</v>
      </c>
      <c r="L30" s="52">
        <f t="shared" si="5"/>
        <v>3.7916400854297816E-2</v>
      </c>
      <c r="M30" s="1"/>
      <c r="N30" s="1"/>
      <c r="O30" s="1"/>
      <c r="P30" s="33"/>
      <c r="Q30" s="68">
        <f>Q28-Q29</f>
        <v>0.22383138536880864</v>
      </c>
      <c r="R30" s="31">
        <f>IF(Q28&lt;Q29,0,1)</f>
        <v>1</v>
      </c>
    </row>
    <row r="31" spans="2:18" ht="17" thickBot="1" x14ac:dyDescent="0.25">
      <c r="B31" s="46">
        <v>45474</v>
      </c>
      <c r="C31">
        <v>4.7699999999999996</v>
      </c>
      <c r="D31" s="47">
        <v>5.28E-2</v>
      </c>
      <c r="E31" s="52">
        <f t="shared" si="1"/>
        <v>0.23575129533678751</v>
      </c>
      <c r="F31" s="53">
        <f t="shared" si="2"/>
        <v>4.0504109589041097E-3</v>
      </c>
      <c r="G31" s="51">
        <f t="shared" si="3"/>
        <v>0.23170088437788341</v>
      </c>
      <c r="H31" s="1"/>
      <c r="I31" s="8">
        <f t="shared" si="0"/>
        <v>4.7699999999999996</v>
      </c>
      <c r="J31" s="52">
        <f t="shared" si="4"/>
        <v>0.23575129533678751</v>
      </c>
      <c r="K31" s="48">
        <v>19292.2</v>
      </c>
      <c r="L31" s="52">
        <f t="shared" si="5"/>
        <v>3.1117049706039568E-2</v>
      </c>
      <c r="M31" s="1"/>
      <c r="N31" s="1"/>
      <c r="O31" s="1"/>
      <c r="P31" s="30"/>
      <c r="Q31" s="69"/>
      <c r="R31" s="133">
        <f>SUM(R10:R30)/8</f>
        <v>0.5</v>
      </c>
    </row>
    <row r="32" spans="2:18" x14ac:dyDescent="0.2">
      <c r="B32" s="46">
        <v>45505</v>
      </c>
      <c r="C32">
        <v>4.7300000000000004</v>
      </c>
      <c r="D32" s="47">
        <v>5.1799999999999999E-2</v>
      </c>
      <c r="E32" s="52">
        <f t="shared" si="1"/>
        <v>-8.3857442348006517E-3</v>
      </c>
      <c r="F32" s="53">
        <f t="shared" si="2"/>
        <v>3.9736986301369863E-3</v>
      </c>
      <c r="G32" s="51">
        <f t="shared" si="3"/>
        <v>-1.2359442864937637E-2</v>
      </c>
      <c r="H32" s="1"/>
      <c r="I32" s="8">
        <f t="shared" si="0"/>
        <v>4.7300000000000004</v>
      </c>
      <c r="J32" s="52">
        <f t="shared" si="4"/>
        <v>-8.3857442348006517E-3</v>
      </c>
      <c r="K32" s="48">
        <v>19516.400000000001</v>
      </c>
      <c r="L32" s="52">
        <f t="shared" si="5"/>
        <v>1.1621276992774376E-2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5.12</v>
      </c>
      <c r="D33" s="47">
        <v>4.7399999999999998E-2</v>
      </c>
      <c r="E33" s="52">
        <f t="shared" si="1"/>
        <v>8.2452431289640415E-2</v>
      </c>
      <c r="F33" s="53">
        <f t="shared" si="2"/>
        <v>3.6361643835616433E-3</v>
      </c>
      <c r="G33" s="51">
        <f t="shared" si="3"/>
        <v>7.8816266906078777E-2</v>
      </c>
      <c r="H33" s="1"/>
      <c r="I33" s="8">
        <f t="shared" si="0"/>
        <v>5.12</v>
      </c>
      <c r="J33" s="52">
        <f t="shared" si="4"/>
        <v>8.2452431289640415E-2</v>
      </c>
      <c r="K33" s="48">
        <v>19239</v>
      </c>
      <c r="L33" s="52">
        <f t="shared" si="5"/>
        <v>-1.4213686950462212E-2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8.16</v>
      </c>
      <c r="D34" s="47">
        <v>4.58E-2</v>
      </c>
      <c r="E34" s="52">
        <f t="shared" si="1"/>
        <v>0.59375</v>
      </c>
      <c r="F34" s="53">
        <f t="shared" si="2"/>
        <v>3.5134246575342465E-3</v>
      </c>
      <c r="G34" s="51">
        <f t="shared" si="3"/>
        <v>0.59023657534246576</v>
      </c>
      <c r="H34" s="1"/>
      <c r="I34" s="8">
        <f t="shared" si="0"/>
        <v>8.16</v>
      </c>
      <c r="J34" s="52">
        <f t="shared" si="4"/>
        <v>0.59375</v>
      </c>
      <c r="K34" s="48">
        <v>20272</v>
      </c>
      <c r="L34" s="52">
        <f t="shared" si="5"/>
        <v>5.3693019387702101E-2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7.66</v>
      </c>
      <c r="D35" s="47">
        <v>4.5499999999999999E-2</v>
      </c>
      <c r="E35" s="52">
        <f t="shared" si="1"/>
        <v>-6.1274509803921573E-2</v>
      </c>
      <c r="F35" s="53">
        <f t="shared" si="2"/>
        <v>3.4904109589041091E-3</v>
      </c>
      <c r="G35" s="51">
        <f t="shared" si="3"/>
        <v>-6.4764920762825681E-2</v>
      </c>
      <c r="H35" s="1"/>
      <c r="I35" s="8">
        <f t="shared" si="0"/>
        <v>7.66</v>
      </c>
      <c r="J35" s="52">
        <f t="shared" si="4"/>
        <v>-6.1274509803921573E-2</v>
      </c>
      <c r="K35" s="48">
        <v>19097.099999999999</v>
      </c>
      <c r="L35" s="52">
        <f t="shared" si="5"/>
        <v>-5.7956787687450717E-2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13.29</v>
      </c>
      <c r="D36" s="47">
        <v>4.2200000000000001E-2</v>
      </c>
      <c r="E36" s="52">
        <f t="shared" si="1"/>
        <v>0.73498694516971264</v>
      </c>
      <c r="F36" s="53">
        <f t="shared" si="2"/>
        <v>3.2372602739726029E-3</v>
      </c>
      <c r="G36" s="51">
        <f t="shared" si="3"/>
        <v>0.73174968489573999</v>
      </c>
      <c r="H36" s="1"/>
      <c r="I36" s="8">
        <f t="shared" si="0"/>
        <v>13.29</v>
      </c>
      <c r="J36" s="52">
        <f t="shared" si="4"/>
        <v>0.73498694516971264</v>
      </c>
      <c r="K36" s="48">
        <v>19998.8</v>
      </c>
      <c r="L36" s="52">
        <f t="shared" si="5"/>
        <v>4.7216593095286807E-2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9.5579999999999998</v>
      </c>
      <c r="D37" s="47">
        <v>4.2599999999999999E-2</v>
      </c>
      <c r="E37" s="52">
        <f t="shared" si="1"/>
        <v>-0.28081264108352144</v>
      </c>
      <c r="F37" s="53">
        <f t="shared" si="2"/>
        <v>3.267945205479452E-3</v>
      </c>
      <c r="G37" s="51">
        <f t="shared" si="3"/>
        <v>-0.2840805862890009</v>
      </c>
      <c r="H37" s="1"/>
      <c r="I37" s="8">
        <f t="shared" si="0"/>
        <v>9.5579999999999998</v>
      </c>
      <c r="J37" s="52">
        <f t="shared" si="4"/>
        <v>-0.28081264108352144</v>
      </c>
      <c r="K37" s="48">
        <v>20028.2</v>
      </c>
      <c r="L37" s="52">
        <f t="shared" si="5"/>
        <v>1.4700882052924857E-3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9.0150000000000006</v>
      </c>
      <c r="D38" s="47">
        <v>4.24E-2</v>
      </c>
      <c r="E38" s="52">
        <f t="shared" si="1"/>
        <v>-5.6811048336471992E-2</v>
      </c>
      <c r="F38" s="53">
        <f t="shared" si="2"/>
        <v>3.2526027397260277E-3</v>
      </c>
      <c r="G38" s="51">
        <f t="shared" si="3"/>
        <v>-6.0063651076198023E-2</v>
      </c>
      <c r="H38" s="1"/>
      <c r="I38" s="8">
        <f t="shared" si="0"/>
        <v>9.0150000000000006</v>
      </c>
      <c r="J38" s="52">
        <f t="shared" si="4"/>
        <v>-5.6811048336471992E-2</v>
      </c>
      <c r="K38" s="48">
        <v>19395.900000000001</v>
      </c>
      <c r="L38" s="52">
        <f t="shared" si="5"/>
        <v>-3.1570485615282418E-2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9.35</v>
      </c>
      <c r="D39" s="47">
        <v>4.24E-2</v>
      </c>
      <c r="E39" s="52">
        <f t="shared" si="1"/>
        <v>3.7160288408208508E-2</v>
      </c>
      <c r="F39" s="53">
        <f t="shared" si="2"/>
        <v>3.2526027397260277E-3</v>
      </c>
      <c r="G39" s="51">
        <f t="shared" si="3"/>
        <v>3.3907685668482478E-2</v>
      </c>
      <c r="H39" s="1"/>
      <c r="I39" s="8">
        <f t="shared" si="0"/>
        <v>9.35</v>
      </c>
      <c r="J39" s="52">
        <f t="shared" si="4"/>
        <v>3.7160288408208508E-2</v>
      </c>
      <c r="K39" s="48">
        <v>19114.2</v>
      </c>
      <c r="L39" s="52">
        <f t="shared" si="5"/>
        <v>-1.4523687995916745E-2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12.67</v>
      </c>
      <c r="D40" s="47">
        <v>4.2299999999999997E-2</v>
      </c>
      <c r="E40" s="52">
        <f t="shared" si="1"/>
        <v>0.35508021390374345</v>
      </c>
      <c r="F40" s="53">
        <f t="shared" si="2"/>
        <v>3.2449315068493151E-3</v>
      </c>
      <c r="G40" s="51">
        <f t="shared" si="3"/>
        <v>0.35183528239689416</v>
      </c>
      <c r="H40" s="1"/>
      <c r="I40" s="8">
        <f t="shared" si="0"/>
        <v>12.67</v>
      </c>
      <c r="J40" s="52">
        <f t="shared" si="4"/>
        <v>0.35508021390374345</v>
      </c>
      <c r="K40" s="48">
        <v>19783.8</v>
      </c>
      <c r="L40" s="52">
        <f t="shared" si="5"/>
        <v>3.5031547226669124E-2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12.21</v>
      </c>
      <c r="D41" s="47">
        <v>4.2200000000000001E-2</v>
      </c>
      <c r="E41" s="52">
        <f t="shared" si="1"/>
        <v>-3.6306235201262749E-2</v>
      </c>
      <c r="F41" s="53">
        <f t="shared" si="2"/>
        <v>3.2372602739726029E-3</v>
      </c>
      <c r="G41" s="51">
        <f t="shared" si="3"/>
        <v>-3.9543495475235349E-2</v>
      </c>
      <c r="H41" s="1"/>
      <c r="I41" s="8">
        <f t="shared" si="0"/>
        <v>12.21</v>
      </c>
      <c r="J41" s="52">
        <f t="shared" si="4"/>
        <v>-3.6306235201262749E-2</v>
      </c>
      <c r="K41" s="48">
        <v>19981.099999999999</v>
      </c>
      <c r="L41" s="52">
        <f t="shared" si="5"/>
        <v>9.9728060332191504E-3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0.10699507735360494</v>
      </c>
      <c r="H43" s="1"/>
      <c r="I43" s="1"/>
      <c r="J43" s="1"/>
      <c r="K43" s="48" t="s">
        <v>65</v>
      </c>
      <c r="L43" s="82">
        <f>COVAR(J20:J41,L20:L41)</f>
        <v>6.0048240711560261E-3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1.3119365558916414E-3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4.5770689475718758</v>
      </c>
    </row>
  </sheetData>
  <mergeCells count="1">
    <mergeCell ref="B4:D4"/>
  </mergeCells>
  <conditionalFormatting sqref="S10">
    <cfRule type="expression" dxfId="94" priority="19">
      <formula>IF($Q$10&gt;$Q$11,1,0)</formula>
    </cfRule>
  </conditionalFormatting>
  <conditionalFormatting sqref="Q10">
    <cfRule type="expression" dxfId="93" priority="10">
      <formula>IF($Q$10&lt;$Q$11,1,0)</formula>
    </cfRule>
    <cfRule type="expression" dxfId="92" priority="18">
      <formula>IF($Q$10&gt;$Q$11,1,0)</formula>
    </cfRule>
  </conditionalFormatting>
  <conditionalFormatting sqref="Q12">
    <cfRule type="expression" dxfId="91" priority="9">
      <formula>IF($Q$12&gt;$Q$13,1,0)</formula>
    </cfRule>
    <cfRule type="expression" dxfId="90" priority="17">
      <formula>IF($Q$12&lt;$Q$13,1,0)</formula>
    </cfRule>
  </conditionalFormatting>
  <conditionalFormatting sqref="Q14">
    <cfRule type="expression" dxfId="89" priority="16">
      <formula>IF($Q$15="Sell",1,0)</formula>
    </cfRule>
  </conditionalFormatting>
  <conditionalFormatting sqref="Q14:Q15">
    <cfRule type="expression" dxfId="88" priority="15">
      <formula>IF($Q$15="Buy",1,0)</formula>
    </cfRule>
  </conditionalFormatting>
  <conditionalFormatting sqref="Q16">
    <cfRule type="expression" dxfId="87" priority="13">
      <formula>IF($Q$16&lt;$Q$17,1,0)</formula>
    </cfRule>
    <cfRule type="expression" dxfId="86" priority="14">
      <formula>IF($Q$16&gt;$Q$17,1,0)</formula>
    </cfRule>
  </conditionalFormatting>
  <conditionalFormatting sqref="Q18">
    <cfRule type="expression" dxfId="85" priority="11">
      <formula>IF($Q$18&lt;$Q$19,1,0)</formula>
    </cfRule>
    <cfRule type="expression" dxfId="84" priority="12">
      <formula>IF($Q$18&gt;$Q$19,1,0)</formula>
    </cfRule>
  </conditionalFormatting>
  <conditionalFormatting sqref="Q23">
    <cfRule type="expression" dxfId="83" priority="7">
      <formula>IF($Q$23&lt;1.1,1,0)</formula>
    </cfRule>
    <cfRule type="expression" dxfId="82" priority="8">
      <formula>IF($Q$23&gt;1.1,1,0)</formula>
    </cfRule>
  </conditionalFormatting>
  <conditionalFormatting sqref="Q26">
    <cfRule type="expression" dxfId="81" priority="5">
      <formula>IF($Q$26&lt;$Q$19,1,0)</formula>
    </cfRule>
    <cfRule type="expression" dxfId="80" priority="6">
      <formula>IF($Q$26&gt;$Q$19,1,0)</formula>
    </cfRule>
  </conditionalFormatting>
  <conditionalFormatting sqref="Q30">
    <cfRule type="expression" dxfId="79" priority="3">
      <formula>IF($Q$28&lt;$Q$29,1,0)</formula>
    </cfRule>
    <cfRule type="expression" dxfId="78" priority="4">
      <formula>IF($Q$28&gt;$Q$29,1,0)</formula>
    </cfRule>
  </conditionalFormatting>
  <conditionalFormatting sqref="R31">
    <cfRule type="expression" dxfId="77" priority="1">
      <formula>IF($R$31&lt;0.485,1,0)</formula>
    </cfRule>
    <cfRule type="expression" dxfId="76" priority="2">
      <formula>IF($R$31&gt;0.49,1,0)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77F26-B92E-462F-A24E-ECCEAE5A81FA}">
  <sheetPr codeName="Sheet11"/>
  <dimension ref="B2:R45"/>
  <sheetViews>
    <sheetView topLeftCell="A3" zoomScale="85" zoomScaleNormal="85" workbookViewId="0">
      <selection activeCell="C19" sqref="C19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131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132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WOLF</v>
      </c>
      <c r="R5" s="8"/>
    </row>
    <row r="6" spans="2:18" x14ac:dyDescent="0.2">
      <c r="B6" s="1" t="s">
        <v>4</v>
      </c>
      <c r="C6" s="1" t="s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NYSE</v>
      </c>
      <c r="R6" s="8"/>
    </row>
    <row r="7" spans="2:18" x14ac:dyDescent="0.2">
      <c r="B7" s="1" t="s">
        <v>7</v>
      </c>
      <c r="C7" s="13">
        <v>45822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1.29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-0.39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-14.63</v>
      </c>
      <c r="R11" s="31">
        <f>IF(Q10&gt;Q11,0,1)</f>
        <v>0</v>
      </c>
    </row>
    <row r="12" spans="2:18" x14ac:dyDescent="0.2">
      <c r="B12" s="1" t="s">
        <v>26</v>
      </c>
      <c r="C12" s="32">
        <f>Q23</f>
        <v>1.29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-0.72</v>
      </c>
      <c r="R12" s="25"/>
    </row>
    <row r="13" spans="2:18" x14ac:dyDescent="0.2">
      <c r="B13" s="1" t="s">
        <v>30</v>
      </c>
      <c r="C13" s="26">
        <f>G43</f>
        <v>-0.11794239129361651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-0.82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-0.1114456847687653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-0.04</v>
      </c>
      <c r="R14" s="31"/>
    </row>
    <row r="15" spans="2:18" ht="19" x14ac:dyDescent="0.25">
      <c r="B15" s="1" t="s">
        <v>36</v>
      </c>
      <c r="C15" s="39">
        <f>C10*(1+C14)</f>
        <v>1.1462350666482928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f>IF(Q15="Sell",0,1)</f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-0.19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62.92</v>
      </c>
      <c r="R17" s="42">
        <f>IF(Q16&lt;Q17,0,1)</f>
        <v>0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WolfSpeed</v>
      </c>
      <c r="J18" s="34" t="s">
        <v>45</v>
      </c>
      <c r="K18" s="34" t="s">
        <v>64</v>
      </c>
      <c r="L18" s="34" t="s">
        <v>46</v>
      </c>
      <c r="M18" s="1"/>
      <c r="N18" s="21"/>
      <c r="O18" s="22"/>
      <c r="P18" s="23" t="s">
        <v>47</v>
      </c>
      <c r="Q18" s="137">
        <f>C14</f>
        <v>-0.1114456847687653</v>
      </c>
      <c r="R18" s="25"/>
    </row>
    <row r="19" spans="2:18" x14ac:dyDescent="0.2">
      <c r="B19" s="46">
        <v>45108</v>
      </c>
      <c r="C19">
        <v>47.82</v>
      </c>
      <c r="D19" s="47">
        <v>5.2699999999999997E-2</v>
      </c>
      <c r="E19" s="1"/>
      <c r="F19" s="1"/>
      <c r="G19" s="1"/>
      <c r="H19" s="1"/>
      <c r="I19" s="8">
        <f>C19</f>
        <v>47.82</v>
      </c>
      <c r="J19" s="8"/>
      <c r="K19" s="48">
        <v>16000.4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38.1</v>
      </c>
      <c r="D20" s="47">
        <v>5.28E-2</v>
      </c>
      <c r="E20" s="52">
        <f>C20/C19-1</f>
        <v>-0.20326223337515681</v>
      </c>
      <c r="F20" s="53">
        <f>D20/365*28</f>
        <v>4.0504109589041097E-3</v>
      </c>
      <c r="G20" s="51">
        <f>E20-F20</f>
        <v>-0.20731264433406091</v>
      </c>
      <c r="H20" s="1"/>
      <c r="I20" s="8">
        <f t="shared" ref="I20:I41" si="0">C20</f>
        <v>38.1</v>
      </c>
      <c r="J20" s="52">
        <f>I20/I19-1</f>
        <v>-0.20326223337515681</v>
      </c>
      <c r="K20" s="48">
        <v>15398.2</v>
      </c>
      <c r="L20" s="52">
        <f>K20/K19-1</f>
        <v>-3.7636559086022814E-2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33.840000000000003</v>
      </c>
      <c r="D21" s="47">
        <v>5.2900000000000003E-2</v>
      </c>
      <c r="E21" s="52">
        <f t="shared" ref="E21:E41" si="1">C21/C20-1</f>
        <v>-0.1118110236220472</v>
      </c>
      <c r="F21" s="53">
        <f t="shared" ref="F21:F41" si="2">D21/365*28</f>
        <v>4.0580821917808214E-3</v>
      </c>
      <c r="G21" s="51">
        <f t="shared" ref="G21:G41" si="3">E21-F21</f>
        <v>-0.11586910581382802</v>
      </c>
      <c r="H21" s="1"/>
      <c r="I21" s="8">
        <f t="shared" si="0"/>
        <v>33.840000000000003</v>
      </c>
      <c r="J21" s="52">
        <f t="shared" ref="J21:J41" si="4">I21/I20-1</f>
        <v>-0.1118110236220472</v>
      </c>
      <c r="K21" s="48">
        <v>14919.2</v>
      </c>
      <c r="L21" s="52">
        <f t="shared" ref="L21:L41" si="5">K21/K20-1</f>
        <v>-3.1107532049200581E-2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36.86</v>
      </c>
      <c r="D22" s="47">
        <v>5.2900000000000003E-2</v>
      </c>
      <c r="E22" s="52">
        <f t="shared" si="1"/>
        <v>8.9243498817966671E-2</v>
      </c>
      <c r="F22" s="53">
        <f t="shared" si="2"/>
        <v>4.0580821917808214E-3</v>
      </c>
      <c r="G22" s="51">
        <f t="shared" si="3"/>
        <v>8.5185416626185853E-2</v>
      </c>
      <c r="H22" s="1"/>
      <c r="I22" s="8">
        <f t="shared" si="0"/>
        <v>36.86</v>
      </c>
      <c r="J22" s="52">
        <f t="shared" si="4"/>
        <v>8.9243498817966671E-2</v>
      </c>
      <c r="K22" s="48">
        <v>16088.8</v>
      </c>
      <c r="L22" s="52">
        <f t="shared" si="5"/>
        <v>7.8395624430264155E-2</v>
      </c>
      <c r="M22" s="1"/>
      <c r="N22" s="28" t="s">
        <v>50</v>
      </c>
      <c r="O22" s="29"/>
      <c r="P22" s="33"/>
      <c r="Q22" s="56"/>
      <c r="R22" s="35">
        <f>IF(Q18&lt;Q19,0,1)</f>
        <v>0</v>
      </c>
    </row>
    <row r="23" spans="2:18" x14ac:dyDescent="0.2">
      <c r="B23" s="46">
        <v>45231</v>
      </c>
      <c r="C23">
        <v>43.51</v>
      </c>
      <c r="D23" s="47">
        <v>5.2900000000000003E-2</v>
      </c>
      <c r="E23" s="52">
        <f t="shared" si="1"/>
        <v>0.18041237113402064</v>
      </c>
      <c r="F23" s="53">
        <f t="shared" si="2"/>
        <v>4.0580821917808214E-3</v>
      </c>
      <c r="G23" s="51">
        <f t="shared" si="3"/>
        <v>0.17635428894223981</v>
      </c>
      <c r="H23" s="1"/>
      <c r="I23" s="8">
        <f t="shared" si="0"/>
        <v>43.51</v>
      </c>
      <c r="J23" s="52">
        <f t="shared" si="4"/>
        <v>0.18041237113402064</v>
      </c>
      <c r="K23" s="48">
        <v>16852.900000000001</v>
      </c>
      <c r="L23" s="52">
        <f t="shared" si="5"/>
        <v>4.7492665705335613E-2</v>
      </c>
      <c r="M23" s="1"/>
      <c r="N23" s="57" t="s">
        <v>51</v>
      </c>
      <c r="O23" s="58" t="s">
        <v>52</v>
      </c>
      <c r="P23" s="59" t="s">
        <v>44</v>
      </c>
      <c r="Q23" s="128">
        <v>1.29</v>
      </c>
      <c r="R23" s="61">
        <f>IF(Q23&gt;1.1,0,1)</f>
        <v>0</v>
      </c>
    </row>
    <row r="24" spans="2:18" x14ac:dyDescent="0.2">
      <c r="B24" s="46">
        <v>45261</v>
      </c>
      <c r="C24">
        <v>32.549999999999997</v>
      </c>
      <c r="D24" s="47">
        <v>5.33E-2</v>
      </c>
      <c r="E24" s="52">
        <f t="shared" si="1"/>
        <v>-0.25189611583544014</v>
      </c>
      <c r="F24" s="53">
        <f t="shared" si="2"/>
        <v>4.0887671232876718E-3</v>
      </c>
      <c r="G24" s="51">
        <f t="shared" si="3"/>
        <v>-0.25598488295872779</v>
      </c>
      <c r="H24" s="1"/>
      <c r="I24" s="8">
        <f t="shared" si="0"/>
        <v>32.549999999999997</v>
      </c>
      <c r="J24" s="52">
        <f t="shared" si="4"/>
        <v>-0.25189611583544014</v>
      </c>
      <c r="K24" s="48">
        <v>16911.099999999999</v>
      </c>
      <c r="L24" s="52">
        <f t="shared" si="5"/>
        <v>3.4534115790159081E-3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26.02</v>
      </c>
      <c r="D25" s="47">
        <v>5.2699999999999997E-2</v>
      </c>
      <c r="E25" s="52">
        <f t="shared" si="1"/>
        <v>-0.20061443932411671</v>
      </c>
      <c r="F25" s="53">
        <f t="shared" si="2"/>
        <v>4.0427397260273962E-3</v>
      </c>
      <c r="G25" s="51">
        <f t="shared" si="3"/>
        <v>-0.20465717905014411</v>
      </c>
      <c r="H25" s="1"/>
      <c r="I25" s="8">
        <f t="shared" si="0"/>
        <v>26.02</v>
      </c>
      <c r="J25" s="52">
        <f t="shared" si="4"/>
        <v>-0.20061443932411671</v>
      </c>
      <c r="K25" s="48">
        <v>17607.400000000001</v>
      </c>
      <c r="L25" s="52">
        <f t="shared" si="5"/>
        <v>4.1174140061853048E-2</v>
      </c>
      <c r="M25" s="1"/>
      <c r="N25" s="30"/>
      <c r="O25" s="64"/>
      <c r="P25" s="30" t="s">
        <v>23</v>
      </c>
      <c r="Q25" s="84">
        <f>Q10</f>
        <v>-0.39</v>
      </c>
      <c r="R25" s="31"/>
    </row>
    <row r="26" spans="2:18" x14ac:dyDescent="0.2">
      <c r="B26" s="46">
        <v>45323</v>
      </c>
      <c r="C26">
        <v>29.5</v>
      </c>
      <c r="D26" s="47">
        <v>5.2999999999999999E-2</v>
      </c>
      <c r="E26" s="52">
        <f t="shared" si="1"/>
        <v>0.13374327440430434</v>
      </c>
      <c r="F26" s="53">
        <f t="shared" si="2"/>
        <v>4.0657534246575349E-3</v>
      </c>
      <c r="G26" s="51">
        <f t="shared" si="3"/>
        <v>0.1296775209796468</v>
      </c>
      <c r="H26" s="1"/>
      <c r="I26" s="8">
        <f t="shared" si="0"/>
        <v>29.5</v>
      </c>
      <c r="J26" s="52">
        <f t="shared" si="4"/>
        <v>0.13374327440430434</v>
      </c>
      <c r="K26" s="48">
        <v>18312.7</v>
      </c>
      <c r="L26" s="52">
        <f t="shared" si="5"/>
        <v>4.0057021479605215E-2</v>
      </c>
      <c r="M26" s="1"/>
      <c r="N26" s="49" t="s">
        <v>54</v>
      </c>
      <c r="O26" s="64"/>
      <c r="P26" s="30" t="s">
        <v>55</v>
      </c>
      <c r="Q26" s="132">
        <f>1/Q25</f>
        <v>-2.5641025641025639</v>
      </c>
      <c r="R26" s="31">
        <f>IF(Q26&lt;Q19,0,1)</f>
        <v>0</v>
      </c>
    </row>
    <row r="27" spans="2:18" x14ac:dyDescent="0.2">
      <c r="B27" s="46">
        <v>45352</v>
      </c>
      <c r="C27">
        <v>27.03</v>
      </c>
      <c r="D27" s="47">
        <v>5.2900000000000003E-2</v>
      </c>
      <c r="E27" s="52">
        <f t="shared" si="1"/>
        <v>-8.3728813559322046E-2</v>
      </c>
      <c r="F27" s="53">
        <f t="shared" si="2"/>
        <v>4.0580821917808214E-3</v>
      </c>
      <c r="G27" s="51">
        <f t="shared" si="3"/>
        <v>-8.7786895751102864E-2</v>
      </c>
      <c r="H27" s="1"/>
      <c r="I27" s="8">
        <f t="shared" si="0"/>
        <v>27.03</v>
      </c>
      <c r="J27" s="52">
        <f t="shared" si="4"/>
        <v>-8.3728813559322046E-2</v>
      </c>
      <c r="K27" s="48">
        <v>17603.3</v>
      </c>
      <c r="L27" s="52">
        <f t="shared" si="5"/>
        <v>-3.8738143474201014E-2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25.7</v>
      </c>
      <c r="D28" s="47">
        <v>5.28E-2</v>
      </c>
      <c r="E28" s="52">
        <f t="shared" si="1"/>
        <v>-4.9204587495375596E-2</v>
      </c>
      <c r="F28" s="53">
        <f t="shared" si="2"/>
        <v>4.0504109589041097E-3</v>
      </c>
      <c r="G28" s="51">
        <f t="shared" si="3"/>
        <v>-5.3254998454279709E-2</v>
      </c>
      <c r="H28" s="1"/>
      <c r="I28" s="8">
        <f t="shared" si="0"/>
        <v>25.7</v>
      </c>
      <c r="J28" s="52">
        <f t="shared" si="4"/>
        <v>-4.9204587495375596E-2</v>
      </c>
      <c r="K28" s="48">
        <v>18083.7</v>
      </c>
      <c r="L28" s="52">
        <f t="shared" si="5"/>
        <v>2.7290337607153381E-2</v>
      </c>
      <c r="M28" s="1"/>
      <c r="N28" s="30"/>
      <c r="O28" s="1"/>
      <c r="P28" s="30" t="s">
        <v>57</v>
      </c>
      <c r="Q28" s="51">
        <f>Q18</f>
        <v>-0.1114456847687653</v>
      </c>
      <c r="R28" s="31"/>
    </row>
    <row r="29" spans="2:18" x14ac:dyDescent="0.2">
      <c r="B29" s="46">
        <v>45413</v>
      </c>
      <c r="C29">
        <v>22.76</v>
      </c>
      <c r="D29" s="47">
        <v>5.2699999999999997E-2</v>
      </c>
      <c r="E29" s="52">
        <f t="shared" si="1"/>
        <v>-0.114396887159533</v>
      </c>
      <c r="F29" s="53">
        <f t="shared" si="2"/>
        <v>4.0427397260273962E-3</v>
      </c>
      <c r="G29" s="51">
        <f t="shared" si="3"/>
        <v>-0.1184396268855604</v>
      </c>
      <c r="H29" s="1"/>
      <c r="I29" s="8">
        <f t="shared" si="0"/>
        <v>22.76</v>
      </c>
      <c r="J29" s="52">
        <f t="shared" si="4"/>
        <v>-0.114396887159533</v>
      </c>
      <c r="K29" s="48">
        <v>18026.5</v>
      </c>
      <c r="L29" s="52">
        <f t="shared" si="5"/>
        <v>-3.1630695045815616E-3</v>
      </c>
      <c r="M29" s="1"/>
      <c r="N29" s="49" t="s">
        <v>117</v>
      </c>
      <c r="O29" s="1"/>
      <c r="P29" s="30" t="s">
        <v>58</v>
      </c>
      <c r="Q29" s="67">
        <v>-0.61380000000000001</v>
      </c>
      <c r="R29" s="31"/>
    </row>
    <row r="30" spans="2:18" ht="17" thickBot="1" x14ac:dyDescent="0.25">
      <c r="B30" s="46">
        <v>45444</v>
      </c>
      <c r="C30">
        <v>18.850000000000001</v>
      </c>
      <c r="D30" s="47">
        <v>5.2699999999999997E-2</v>
      </c>
      <c r="E30" s="52">
        <f t="shared" si="1"/>
        <v>-0.17179261862917394</v>
      </c>
      <c r="F30" s="53">
        <f t="shared" si="2"/>
        <v>4.0427397260273962E-3</v>
      </c>
      <c r="G30" s="51">
        <f t="shared" si="3"/>
        <v>-0.17583535835520134</v>
      </c>
      <c r="I30" s="8">
        <f t="shared" si="0"/>
        <v>18.850000000000001</v>
      </c>
      <c r="J30" s="52">
        <f t="shared" si="4"/>
        <v>-0.17179261862917394</v>
      </c>
      <c r="K30" s="48">
        <v>18710</v>
      </c>
      <c r="L30" s="52">
        <f t="shared" si="5"/>
        <v>3.7916400854297816E-2</v>
      </c>
      <c r="M30" s="1"/>
      <c r="N30" s="1"/>
      <c r="O30" s="1"/>
      <c r="P30" s="33"/>
      <c r="Q30" s="68">
        <f>Q28-Q29</f>
        <v>0.50235431523123475</v>
      </c>
      <c r="R30" s="31">
        <f>IF(Q28&lt;Q29,0,1)</f>
        <v>1</v>
      </c>
    </row>
    <row r="31" spans="2:18" ht="17" thickBot="1" x14ac:dyDescent="0.25">
      <c r="B31" s="46">
        <v>45474</v>
      </c>
      <c r="C31">
        <v>9.75</v>
      </c>
      <c r="D31" s="47">
        <v>5.28E-2</v>
      </c>
      <c r="E31" s="52">
        <f t="shared" si="1"/>
        <v>-0.48275862068965525</v>
      </c>
      <c r="F31" s="53">
        <f t="shared" si="2"/>
        <v>4.0504109589041097E-3</v>
      </c>
      <c r="G31" s="51">
        <f t="shared" si="3"/>
        <v>-0.48680903164855938</v>
      </c>
      <c r="H31" s="1"/>
      <c r="I31" s="8">
        <f t="shared" si="0"/>
        <v>9.75</v>
      </c>
      <c r="J31" s="52">
        <f t="shared" si="4"/>
        <v>-0.48275862068965525</v>
      </c>
      <c r="K31" s="48">
        <v>19292.2</v>
      </c>
      <c r="L31" s="52">
        <f t="shared" si="5"/>
        <v>3.1117049706039568E-2</v>
      </c>
      <c r="M31" s="1"/>
      <c r="N31" s="1"/>
      <c r="O31" s="1"/>
      <c r="P31" s="30"/>
      <c r="Q31" s="69"/>
      <c r="R31" s="133">
        <f>SUM(R10:R30)/8</f>
        <v>0.25</v>
      </c>
    </row>
    <row r="32" spans="2:18" x14ac:dyDescent="0.2">
      <c r="B32" s="46">
        <v>45505</v>
      </c>
      <c r="C32">
        <v>9.6999999999999993</v>
      </c>
      <c r="D32" s="47">
        <v>5.1799999999999999E-2</v>
      </c>
      <c r="E32" s="52">
        <f t="shared" si="1"/>
        <v>-5.128205128205221E-3</v>
      </c>
      <c r="F32" s="53">
        <f t="shared" si="2"/>
        <v>3.9736986301369863E-3</v>
      </c>
      <c r="G32" s="51">
        <f t="shared" si="3"/>
        <v>-9.1019037583422065E-3</v>
      </c>
      <c r="H32" s="1"/>
      <c r="I32" s="8">
        <f t="shared" si="0"/>
        <v>9.6999999999999993</v>
      </c>
      <c r="J32" s="52">
        <f t="shared" si="4"/>
        <v>-5.128205128205221E-3</v>
      </c>
      <c r="K32" s="48">
        <v>19516.400000000001</v>
      </c>
      <c r="L32" s="52">
        <f t="shared" si="5"/>
        <v>1.1621276992774376E-2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13.31</v>
      </c>
      <c r="D33" s="47">
        <v>4.7399999999999998E-2</v>
      </c>
      <c r="E33" s="52">
        <f t="shared" si="1"/>
        <v>0.37216494845360848</v>
      </c>
      <c r="F33" s="53">
        <f t="shared" si="2"/>
        <v>3.6361643835616433E-3</v>
      </c>
      <c r="G33" s="51">
        <f t="shared" si="3"/>
        <v>0.36852878407004686</v>
      </c>
      <c r="H33" s="1"/>
      <c r="I33" s="8">
        <f t="shared" si="0"/>
        <v>13.31</v>
      </c>
      <c r="J33" s="52">
        <f t="shared" si="4"/>
        <v>0.37216494845360848</v>
      </c>
      <c r="K33" s="48">
        <v>19239</v>
      </c>
      <c r="L33" s="52">
        <f t="shared" si="5"/>
        <v>-1.4213686950462212E-2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9.58</v>
      </c>
      <c r="D34" s="47">
        <v>4.58E-2</v>
      </c>
      <c r="E34" s="52">
        <f t="shared" si="1"/>
        <v>-0.28024042073628852</v>
      </c>
      <c r="F34" s="53">
        <f t="shared" si="2"/>
        <v>3.5134246575342465E-3</v>
      </c>
      <c r="G34" s="51">
        <f t="shared" si="3"/>
        <v>-0.28375384539382276</v>
      </c>
      <c r="H34" s="1"/>
      <c r="I34" s="8">
        <f t="shared" si="0"/>
        <v>9.58</v>
      </c>
      <c r="J34" s="52">
        <f t="shared" si="4"/>
        <v>-0.28024042073628852</v>
      </c>
      <c r="K34" s="48">
        <v>20272</v>
      </c>
      <c r="L34" s="52">
        <f t="shared" si="5"/>
        <v>5.3693019387702101E-2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6.66</v>
      </c>
      <c r="D35" s="47">
        <v>4.5499999999999999E-2</v>
      </c>
      <c r="E35" s="52">
        <f t="shared" si="1"/>
        <v>-0.30480167014613779</v>
      </c>
      <c r="F35" s="53">
        <f t="shared" si="2"/>
        <v>3.4904109589041091E-3</v>
      </c>
      <c r="G35" s="51">
        <f t="shared" si="3"/>
        <v>-0.30829208110504192</v>
      </c>
      <c r="H35" s="1"/>
      <c r="I35" s="8">
        <f t="shared" si="0"/>
        <v>6.66</v>
      </c>
      <c r="J35" s="52">
        <f t="shared" si="4"/>
        <v>-0.30480167014613779</v>
      </c>
      <c r="K35" s="48">
        <v>19097.099999999999</v>
      </c>
      <c r="L35" s="52">
        <f t="shared" si="5"/>
        <v>-5.7956787687450717E-2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6.13</v>
      </c>
      <c r="D36" s="47">
        <v>4.2200000000000001E-2</v>
      </c>
      <c r="E36" s="52">
        <f t="shared" si="1"/>
        <v>-7.9579579579579618E-2</v>
      </c>
      <c r="F36" s="53">
        <f t="shared" si="2"/>
        <v>3.2372602739726029E-3</v>
      </c>
      <c r="G36" s="51">
        <f t="shared" si="3"/>
        <v>-8.2816839853552218E-2</v>
      </c>
      <c r="H36" s="1"/>
      <c r="I36" s="8">
        <f t="shared" si="0"/>
        <v>6.13</v>
      </c>
      <c r="J36" s="52">
        <f t="shared" si="4"/>
        <v>-7.9579579579579618E-2</v>
      </c>
      <c r="K36" s="48">
        <v>19998.8</v>
      </c>
      <c r="L36" s="52">
        <f t="shared" si="5"/>
        <v>4.7216593095286807E-2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5.78</v>
      </c>
      <c r="D37" s="47">
        <v>4.2599999999999999E-2</v>
      </c>
      <c r="E37" s="52">
        <f t="shared" si="1"/>
        <v>-5.7096247960848223E-2</v>
      </c>
      <c r="F37" s="53">
        <f t="shared" si="2"/>
        <v>3.267945205479452E-3</v>
      </c>
      <c r="G37" s="51">
        <f t="shared" si="3"/>
        <v>-6.0364193166327677E-2</v>
      </c>
      <c r="H37" s="1"/>
      <c r="I37" s="8">
        <f t="shared" si="0"/>
        <v>5.78</v>
      </c>
      <c r="J37" s="52">
        <f t="shared" si="4"/>
        <v>-5.7096247960848223E-2</v>
      </c>
      <c r="K37" s="48">
        <v>20028.2</v>
      </c>
      <c r="L37" s="52">
        <f t="shared" si="5"/>
        <v>1.4700882052924857E-3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3.06</v>
      </c>
      <c r="D38" s="47">
        <v>4.24E-2</v>
      </c>
      <c r="E38" s="52">
        <f t="shared" si="1"/>
        <v>-0.47058823529411764</v>
      </c>
      <c r="F38" s="53">
        <f t="shared" si="2"/>
        <v>3.2526027397260277E-3</v>
      </c>
      <c r="G38" s="51">
        <f t="shared" si="3"/>
        <v>-0.47384083803384369</v>
      </c>
      <c r="H38" s="1"/>
      <c r="I38" s="8">
        <f t="shared" si="0"/>
        <v>3.06</v>
      </c>
      <c r="J38" s="52">
        <f t="shared" si="4"/>
        <v>-0.47058823529411764</v>
      </c>
      <c r="K38" s="48">
        <v>19395.900000000001</v>
      </c>
      <c r="L38" s="52">
        <f t="shared" si="5"/>
        <v>-3.1570485615282418E-2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3.55</v>
      </c>
      <c r="D39" s="47">
        <v>4.24E-2</v>
      </c>
      <c r="E39" s="52">
        <f t="shared" si="1"/>
        <v>0.16013071895424824</v>
      </c>
      <c r="F39" s="53">
        <f t="shared" si="2"/>
        <v>3.2526027397260277E-3</v>
      </c>
      <c r="G39" s="51">
        <f t="shared" si="3"/>
        <v>0.15687811621452222</v>
      </c>
      <c r="H39" s="1"/>
      <c r="I39" s="8">
        <f t="shared" si="0"/>
        <v>3.55</v>
      </c>
      <c r="J39" s="52">
        <f t="shared" si="4"/>
        <v>0.16013071895424824</v>
      </c>
      <c r="K39" s="48">
        <v>19114.2</v>
      </c>
      <c r="L39" s="52">
        <f t="shared" si="5"/>
        <v>-1.4523687995916745E-2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1.19</v>
      </c>
      <c r="D40" s="47">
        <v>4.2299999999999997E-2</v>
      </c>
      <c r="E40" s="52">
        <f t="shared" si="1"/>
        <v>-0.6647887323943662</v>
      </c>
      <c r="F40" s="53">
        <f t="shared" si="2"/>
        <v>3.2449315068493151E-3</v>
      </c>
      <c r="G40" s="51">
        <f t="shared" si="3"/>
        <v>-0.66803366390121555</v>
      </c>
      <c r="H40" s="1"/>
      <c r="I40" s="8">
        <f t="shared" si="0"/>
        <v>1.19</v>
      </c>
      <c r="J40" s="52">
        <f t="shared" si="4"/>
        <v>-0.6647887323943662</v>
      </c>
      <c r="K40" s="48">
        <v>19783.8</v>
      </c>
      <c r="L40" s="52">
        <f t="shared" si="5"/>
        <v>3.5031547226669124E-2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1.29</v>
      </c>
      <c r="D41" s="47">
        <v>4.2200000000000001E-2</v>
      </c>
      <c r="E41" s="52">
        <f t="shared" si="1"/>
        <v>8.4033613445378297E-2</v>
      </c>
      <c r="F41" s="53">
        <f t="shared" si="2"/>
        <v>3.2372602739726029E-3</v>
      </c>
      <c r="G41" s="51">
        <f t="shared" si="3"/>
        <v>8.0796353171405697E-2</v>
      </c>
      <c r="H41" s="1"/>
      <c r="I41" s="8">
        <f t="shared" si="0"/>
        <v>1.29</v>
      </c>
      <c r="J41" s="52">
        <f t="shared" si="4"/>
        <v>8.4033613445378297E-2</v>
      </c>
      <c r="K41" s="48">
        <v>19981.099999999999</v>
      </c>
      <c r="L41" s="52">
        <f t="shared" si="5"/>
        <v>9.9728060332191504E-3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-0.11794239129361651</v>
      </c>
      <c r="H43" s="1"/>
      <c r="I43" s="1"/>
      <c r="J43" s="1"/>
      <c r="K43" s="48" t="s">
        <v>65</v>
      </c>
      <c r="L43" s="82">
        <f>COVAR(J20:J41,L20:L41)</f>
        <v>6.4612097632947834E-4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1.3119365558916414E-3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0.49249407178104754</v>
      </c>
    </row>
  </sheetData>
  <mergeCells count="1">
    <mergeCell ref="B4:D4"/>
  </mergeCells>
  <conditionalFormatting sqref="S10">
    <cfRule type="expression" dxfId="75" priority="19">
      <formula>IF($Q$10&gt;$Q$11,1,0)</formula>
    </cfRule>
  </conditionalFormatting>
  <conditionalFormatting sqref="Q10">
    <cfRule type="expression" dxfId="74" priority="10">
      <formula>IF($Q$10&lt;$Q$11,1,0)</formula>
    </cfRule>
    <cfRule type="expression" dxfId="73" priority="18">
      <formula>IF($Q$10&gt;$Q$11,1,0)</formula>
    </cfRule>
  </conditionalFormatting>
  <conditionalFormatting sqref="Q12">
    <cfRule type="expression" dxfId="72" priority="9">
      <formula>IF($Q$12&gt;$Q$13,1,0)</formula>
    </cfRule>
    <cfRule type="expression" dxfId="71" priority="17">
      <formula>IF($Q$12&lt;$Q$13,1,0)</formula>
    </cfRule>
  </conditionalFormatting>
  <conditionalFormatting sqref="Q14">
    <cfRule type="expression" dxfId="70" priority="16">
      <formula>IF($Q$15="Sell",1,0)</formula>
    </cfRule>
  </conditionalFormatting>
  <conditionalFormatting sqref="Q14:Q15">
    <cfRule type="expression" dxfId="69" priority="15">
      <formula>IF($Q$15="Buy",1,0)</formula>
    </cfRule>
  </conditionalFormatting>
  <conditionalFormatting sqref="Q16">
    <cfRule type="expression" dxfId="68" priority="13">
      <formula>IF($Q$16&lt;$Q$17,1,0)</formula>
    </cfRule>
    <cfRule type="expression" dxfId="67" priority="14">
      <formula>IF($Q$16&gt;$Q$17,1,0)</formula>
    </cfRule>
  </conditionalFormatting>
  <conditionalFormatting sqref="Q18">
    <cfRule type="expression" dxfId="66" priority="11">
      <formula>IF($Q$18&lt;$Q$19,1,0)</formula>
    </cfRule>
    <cfRule type="expression" dxfId="65" priority="12">
      <formula>IF($Q$18&gt;$Q$19,1,0)</formula>
    </cfRule>
  </conditionalFormatting>
  <conditionalFormatting sqref="Q23">
    <cfRule type="expression" dxfId="64" priority="7">
      <formula>IF($Q$23&lt;1.1,1,0)</formula>
    </cfRule>
    <cfRule type="expression" dxfId="63" priority="8">
      <formula>IF($Q$23&gt;1.1,1,0)</formula>
    </cfRule>
  </conditionalFormatting>
  <conditionalFormatting sqref="Q26">
    <cfRule type="expression" dxfId="62" priority="5">
      <formula>IF($Q$26&lt;$Q$19,1,0)</formula>
    </cfRule>
    <cfRule type="expression" dxfId="61" priority="6">
      <formula>IF($Q$26&gt;$Q$19,1,0)</formula>
    </cfRule>
  </conditionalFormatting>
  <conditionalFormatting sqref="Q30">
    <cfRule type="expression" dxfId="60" priority="3">
      <formula>IF($Q$28&lt;$Q$29,1,0)</formula>
    </cfRule>
    <cfRule type="expression" dxfId="59" priority="4">
      <formula>IF($Q$28&gt;$Q$29,1,0)</formula>
    </cfRule>
  </conditionalFormatting>
  <conditionalFormatting sqref="R31">
    <cfRule type="expression" dxfId="58" priority="1">
      <formula>IF($R$31&lt;0.485,1,0)</formula>
    </cfRule>
    <cfRule type="expression" dxfId="57" priority="2">
      <formula>IF($R$31&gt;0.49,1,0)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0BB39-81E2-4DEF-A4FF-837FF3A7C168}">
  <sheetPr codeName="Sheet10"/>
  <dimension ref="B2:R45"/>
  <sheetViews>
    <sheetView topLeftCell="B1" zoomScale="85" zoomScaleNormal="85" workbookViewId="0">
      <selection activeCell="R32" sqref="R32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129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130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APP</v>
      </c>
      <c r="R5" s="8"/>
    </row>
    <row r="6" spans="2:18" x14ac:dyDescent="0.2">
      <c r="B6" s="1" t="s">
        <v>4</v>
      </c>
      <c r="C6" s="1" t="s">
        <v>62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NASDAQ</v>
      </c>
      <c r="R6" s="8"/>
    </row>
    <row r="7" spans="2:18" x14ac:dyDescent="0.2">
      <c r="B7" s="1" t="s">
        <v>7</v>
      </c>
      <c r="C7" s="13">
        <v>45822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364.49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64.3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-0.53</v>
      </c>
      <c r="R11" s="31">
        <f>IF(Q10&gt;Q11,0,1)</f>
        <v>0</v>
      </c>
    </row>
    <row r="12" spans="2:18" x14ac:dyDescent="0.2">
      <c r="B12" s="1" t="s">
        <v>26</v>
      </c>
      <c r="C12" s="32">
        <f>Q23</f>
        <v>2.5299999999999998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1.67</v>
      </c>
      <c r="R12" s="25"/>
    </row>
    <row r="13" spans="2:18" x14ac:dyDescent="0.2">
      <c r="B13" s="1" t="s">
        <v>30</v>
      </c>
      <c r="C13" s="26">
        <f>G43</f>
        <v>0.1230559075965434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1.43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0.35203144621925481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-7.38</v>
      </c>
      <c r="R14" s="31"/>
    </row>
    <row r="15" spans="2:18" ht="19" x14ac:dyDescent="0.25">
      <c r="B15" s="1" t="s">
        <v>36</v>
      </c>
      <c r="C15" s="39">
        <f>C10*(1+C14)</f>
        <v>492.80194183245624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f>IF(Q15="Sell",0,1)</f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61.96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35.9</v>
      </c>
      <c r="R17" s="42">
        <f>IF(Q16&lt;Q17,0,1)</f>
        <v>1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AppLovin</v>
      </c>
      <c r="J18" s="34" t="s">
        <v>45</v>
      </c>
      <c r="K18" s="34" t="s">
        <v>64</v>
      </c>
      <c r="L18" s="34" t="s">
        <v>46</v>
      </c>
      <c r="M18" s="1"/>
      <c r="N18" s="21"/>
      <c r="O18" s="22"/>
      <c r="P18" s="23" t="s">
        <v>47</v>
      </c>
      <c r="Q18" s="137">
        <f>C14</f>
        <v>0.35203144621925481</v>
      </c>
      <c r="R18" s="25"/>
    </row>
    <row r="19" spans="2:18" x14ac:dyDescent="0.2">
      <c r="B19" s="46">
        <v>45108</v>
      </c>
      <c r="C19">
        <v>43.22</v>
      </c>
      <c r="D19" s="47">
        <v>5.2699999999999997E-2</v>
      </c>
      <c r="E19" s="1"/>
      <c r="F19" s="1"/>
      <c r="G19" s="1"/>
      <c r="H19" s="1"/>
      <c r="I19" s="8">
        <f>C19</f>
        <v>43.22</v>
      </c>
      <c r="J19" s="8"/>
      <c r="K19" s="48">
        <v>15501.07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39.96</v>
      </c>
      <c r="D20" s="47">
        <v>5.28E-2</v>
      </c>
      <c r="E20" s="52">
        <f>C20/C19-1</f>
        <v>-7.5428042572882825E-2</v>
      </c>
      <c r="F20" s="53">
        <f>D20/365*28</f>
        <v>4.0504109589041097E-3</v>
      </c>
      <c r="G20" s="51">
        <f>E20-F20</f>
        <v>-7.9478453531786938E-2</v>
      </c>
      <c r="H20" s="1"/>
      <c r="I20" s="8">
        <f t="shared" ref="I20:I41" si="0">C20</f>
        <v>39.96</v>
      </c>
      <c r="J20" s="52">
        <f>I20/I19-1</f>
        <v>-7.5428042572882825E-2</v>
      </c>
      <c r="K20" s="48">
        <v>14715.24</v>
      </c>
      <c r="L20" s="52">
        <f>K20/K19-1</f>
        <v>-5.0695210072595032E-2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36.44</v>
      </c>
      <c r="D21" s="47">
        <v>5.2900000000000003E-2</v>
      </c>
      <c r="E21" s="52">
        <f t="shared" ref="E21:E41" si="1">C21/C20-1</f>
        <v>-8.8088088088088212E-2</v>
      </c>
      <c r="F21" s="53">
        <f t="shared" ref="F21:F41" si="2">D21/365*28</f>
        <v>4.0580821917808214E-3</v>
      </c>
      <c r="G21" s="51">
        <f t="shared" ref="G21:G41" si="3">E21-F21</f>
        <v>-9.214617027986903E-2</v>
      </c>
      <c r="H21" s="1"/>
      <c r="I21" s="8">
        <f t="shared" si="0"/>
        <v>36.44</v>
      </c>
      <c r="J21" s="52">
        <f t="shared" ref="J21:J41" si="4">I21/I20-1</f>
        <v>-8.8088088088088212E-2</v>
      </c>
      <c r="K21" s="48">
        <v>14409.78</v>
      </c>
      <c r="L21" s="52">
        <f t="shared" ref="L21:L41" si="5">K21/K20-1</f>
        <v>-2.0758071224118657E-2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37.479999999999997</v>
      </c>
      <c r="D22" s="47">
        <v>5.2900000000000003E-2</v>
      </c>
      <c r="E22" s="52">
        <f t="shared" si="1"/>
        <v>2.8540065861690334E-2</v>
      </c>
      <c r="F22" s="53">
        <f t="shared" si="2"/>
        <v>4.0580821917808214E-3</v>
      </c>
      <c r="G22" s="51">
        <f t="shared" si="3"/>
        <v>2.4481983669909512E-2</v>
      </c>
      <c r="H22" s="1"/>
      <c r="I22" s="8">
        <f t="shared" si="0"/>
        <v>37.479999999999997</v>
      </c>
      <c r="J22" s="52">
        <f t="shared" si="4"/>
        <v>2.8540065861690334E-2</v>
      </c>
      <c r="K22" s="48">
        <v>15947.87</v>
      </c>
      <c r="L22" s="52">
        <f t="shared" si="5"/>
        <v>0.10673931177297646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C23">
        <v>39.85</v>
      </c>
      <c r="D23" s="47">
        <v>5.2900000000000003E-2</v>
      </c>
      <c r="E23" s="52">
        <f t="shared" si="1"/>
        <v>6.3233724653148471E-2</v>
      </c>
      <c r="F23" s="53">
        <f t="shared" si="2"/>
        <v>4.0580821917808214E-3</v>
      </c>
      <c r="G23" s="51">
        <f t="shared" si="3"/>
        <v>5.9175642461367653E-2</v>
      </c>
      <c r="H23" s="1"/>
      <c r="I23" s="8">
        <f t="shared" si="0"/>
        <v>39.85</v>
      </c>
      <c r="J23" s="52">
        <f t="shared" si="4"/>
        <v>6.3233724653148471E-2</v>
      </c>
      <c r="K23" s="48">
        <v>16825.93</v>
      </c>
      <c r="L23" s="52">
        <f t="shared" si="5"/>
        <v>5.5058136290300874E-2</v>
      </c>
      <c r="M23" s="1"/>
      <c r="N23" s="57" t="s">
        <v>51</v>
      </c>
      <c r="O23" s="58" t="s">
        <v>52</v>
      </c>
      <c r="P23" s="59" t="s">
        <v>44</v>
      </c>
      <c r="Q23" s="128">
        <v>2.5299999999999998</v>
      </c>
      <c r="R23" s="61">
        <f>IF(Q23&gt;1.1,0,1)</f>
        <v>0</v>
      </c>
    </row>
    <row r="24" spans="2:18" x14ac:dyDescent="0.2">
      <c r="B24" s="46">
        <v>45261</v>
      </c>
      <c r="C24">
        <v>41.13</v>
      </c>
      <c r="D24" s="47">
        <v>5.33E-2</v>
      </c>
      <c r="E24" s="52">
        <f t="shared" si="1"/>
        <v>3.2120451693852026E-2</v>
      </c>
      <c r="F24" s="53">
        <f t="shared" si="2"/>
        <v>4.0887671232876718E-3</v>
      </c>
      <c r="G24" s="51">
        <f t="shared" si="3"/>
        <v>2.8031684570564354E-2</v>
      </c>
      <c r="H24" s="1"/>
      <c r="I24" s="8">
        <f t="shared" si="0"/>
        <v>41.13</v>
      </c>
      <c r="J24" s="52">
        <f t="shared" si="4"/>
        <v>3.2120451693852026E-2</v>
      </c>
      <c r="K24" s="48">
        <v>17137.240000000002</v>
      </c>
      <c r="L24" s="52">
        <f t="shared" si="5"/>
        <v>1.8501800494831633E-2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59.72</v>
      </c>
      <c r="D25" s="47">
        <v>5.2699999999999997E-2</v>
      </c>
      <c r="E25" s="52">
        <f t="shared" si="1"/>
        <v>0.4519815220034038</v>
      </c>
      <c r="F25" s="53">
        <f t="shared" si="2"/>
        <v>4.0427397260273962E-3</v>
      </c>
      <c r="G25" s="51">
        <f t="shared" si="3"/>
        <v>0.44793878227737638</v>
      </c>
      <c r="H25" s="1"/>
      <c r="I25" s="8">
        <f t="shared" si="0"/>
        <v>59.72</v>
      </c>
      <c r="J25" s="52">
        <f t="shared" si="4"/>
        <v>0.4519815220034038</v>
      </c>
      <c r="K25" s="48">
        <v>18043.849999999999</v>
      </c>
      <c r="L25" s="52">
        <f t="shared" si="5"/>
        <v>5.2902917856084031E-2</v>
      </c>
      <c r="M25" s="1"/>
      <c r="N25" s="30"/>
      <c r="O25" s="64"/>
      <c r="P25" s="30" t="s">
        <v>23</v>
      </c>
      <c r="Q25" s="84">
        <f>Q10</f>
        <v>64.3</v>
      </c>
      <c r="R25" s="31"/>
    </row>
    <row r="26" spans="2:18" x14ac:dyDescent="0.2">
      <c r="B26" s="46">
        <v>45323</v>
      </c>
      <c r="C26">
        <v>69.22</v>
      </c>
      <c r="D26" s="47">
        <v>5.2999999999999999E-2</v>
      </c>
      <c r="E26" s="52">
        <f t="shared" si="1"/>
        <v>0.15907568653717341</v>
      </c>
      <c r="F26" s="53">
        <f t="shared" si="2"/>
        <v>4.0657534246575349E-3</v>
      </c>
      <c r="G26" s="51">
        <f t="shared" si="3"/>
        <v>0.15500993311251587</v>
      </c>
      <c r="H26" s="1"/>
      <c r="I26" s="8">
        <f t="shared" si="0"/>
        <v>69.22</v>
      </c>
      <c r="J26" s="52">
        <f t="shared" si="4"/>
        <v>0.15907568653717341</v>
      </c>
      <c r="K26" s="48">
        <v>18254.689999999999</v>
      </c>
      <c r="L26" s="52">
        <f t="shared" si="5"/>
        <v>1.1684867697304036E-2</v>
      </c>
      <c r="M26" s="1"/>
      <c r="N26" s="49" t="s">
        <v>54</v>
      </c>
      <c r="O26" s="64"/>
      <c r="P26" s="30" t="s">
        <v>55</v>
      </c>
      <c r="Q26" s="132">
        <f>1/Q25</f>
        <v>1.5552099533437015E-2</v>
      </c>
      <c r="R26" s="31">
        <f>IF(Q26&lt;Q19,0,1)</f>
        <v>0</v>
      </c>
    </row>
    <row r="27" spans="2:18" x14ac:dyDescent="0.2">
      <c r="B27" s="46">
        <v>45352</v>
      </c>
      <c r="C27">
        <v>70.569999999999993</v>
      </c>
      <c r="D27" s="47">
        <v>5.2900000000000003E-2</v>
      </c>
      <c r="E27" s="52">
        <f t="shared" si="1"/>
        <v>1.9503033805258418E-2</v>
      </c>
      <c r="F27" s="53">
        <f t="shared" si="2"/>
        <v>4.0580821917808214E-3</v>
      </c>
      <c r="G27" s="51">
        <f t="shared" si="3"/>
        <v>1.5444951613477597E-2</v>
      </c>
      <c r="H27" s="1"/>
      <c r="I27" s="8">
        <f t="shared" si="0"/>
        <v>70.569999999999993</v>
      </c>
      <c r="J27" s="52">
        <f t="shared" si="4"/>
        <v>1.9503033805258418E-2</v>
      </c>
      <c r="K27" s="48">
        <v>17440.689999999999</v>
      </c>
      <c r="L27" s="52">
        <f t="shared" si="5"/>
        <v>-4.4591280377809794E-2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81.48</v>
      </c>
      <c r="D28" s="47">
        <v>5.28E-2</v>
      </c>
      <c r="E28" s="52">
        <f t="shared" si="1"/>
        <v>0.15459827122006531</v>
      </c>
      <c r="F28" s="53">
        <f t="shared" si="2"/>
        <v>4.0504109589041097E-3</v>
      </c>
      <c r="G28" s="51">
        <f t="shared" si="3"/>
        <v>0.15054786026116121</v>
      </c>
      <c r="H28" s="1"/>
      <c r="I28" s="8">
        <f t="shared" si="0"/>
        <v>81.48</v>
      </c>
      <c r="J28" s="52">
        <f t="shared" si="4"/>
        <v>0.15459827122006531</v>
      </c>
      <c r="K28" s="48">
        <v>18536.650000000001</v>
      </c>
      <c r="L28" s="52">
        <f t="shared" si="5"/>
        <v>6.2839256933068688E-2</v>
      </c>
      <c r="M28" s="1"/>
      <c r="N28" s="30"/>
      <c r="O28" s="1"/>
      <c r="P28" s="30" t="s">
        <v>57</v>
      </c>
      <c r="Q28" s="51">
        <f>Q18</f>
        <v>0.35203144621925481</v>
      </c>
      <c r="R28" s="31"/>
    </row>
    <row r="29" spans="2:18" x14ac:dyDescent="0.2">
      <c r="B29" s="46">
        <v>45413</v>
      </c>
      <c r="C29">
        <v>83.22</v>
      </c>
      <c r="D29" s="47">
        <v>5.2699999999999997E-2</v>
      </c>
      <c r="E29" s="52">
        <f t="shared" si="1"/>
        <v>2.1354933726067671E-2</v>
      </c>
      <c r="F29" s="53">
        <f t="shared" si="2"/>
        <v>4.0427397260273962E-3</v>
      </c>
      <c r="G29" s="51">
        <f t="shared" si="3"/>
        <v>1.7312194000040276E-2</v>
      </c>
      <c r="H29" s="1"/>
      <c r="I29" s="8">
        <f t="shared" si="0"/>
        <v>83.22</v>
      </c>
      <c r="J29" s="52">
        <f t="shared" si="4"/>
        <v>2.1354933726067671E-2</v>
      </c>
      <c r="K29" s="48">
        <v>19682.87</v>
      </c>
      <c r="L29" s="52">
        <f t="shared" si="5"/>
        <v>6.1835337021522108E-2</v>
      </c>
      <c r="M29" s="1"/>
      <c r="N29" s="49" t="s">
        <v>117</v>
      </c>
      <c r="O29" s="1"/>
      <c r="P29" s="30" t="s">
        <v>58</v>
      </c>
      <c r="Q29" s="67">
        <v>4.7699999999999999E-2</v>
      </c>
      <c r="R29" s="31"/>
    </row>
    <row r="30" spans="2:18" ht="17" thickBot="1" x14ac:dyDescent="0.25">
      <c r="B30" s="46">
        <v>45444</v>
      </c>
      <c r="C30">
        <v>77.099999999999994</v>
      </c>
      <c r="D30" s="47">
        <v>5.2699999999999997E-2</v>
      </c>
      <c r="E30" s="52">
        <f t="shared" si="1"/>
        <v>-7.3540014419610777E-2</v>
      </c>
      <c r="F30" s="53">
        <f t="shared" si="2"/>
        <v>4.0427397260273962E-3</v>
      </c>
      <c r="G30" s="51">
        <f t="shared" si="3"/>
        <v>-7.7582754145638172E-2</v>
      </c>
      <c r="I30" s="8">
        <f t="shared" si="0"/>
        <v>77.099999999999994</v>
      </c>
      <c r="J30" s="52">
        <f t="shared" si="4"/>
        <v>-7.3540014419610777E-2</v>
      </c>
      <c r="K30" s="48">
        <v>19362.43</v>
      </c>
      <c r="L30" s="52">
        <f t="shared" si="5"/>
        <v>-1.6280146137224838E-2</v>
      </c>
      <c r="M30" s="1"/>
      <c r="N30" s="1"/>
      <c r="O30" s="1"/>
      <c r="P30" s="33"/>
      <c r="Q30" s="68">
        <f>Q28-Q29</f>
        <v>0.30433144621925479</v>
      </c>
      <c r="R30" s="31">
        <f>IF(Q28&lt;Q29,0,1)</f>
        <v>1</v>
      </c>
    </row>
    <row r="31" spans="2:18" ht="17" thickBot="1" x14ac:dyDescent="0.25">
      <c r="B31" s="46">
        <v>45474</v>
      </c>
      <c r="C31">
        <v>92.87</v>
      </c>
      <c r="D31" s="47">
        <v>5.28E-2</v>
      </c>
      <c r="E31" s="52">
        <f t="shared" si="1"/>
        <v>0.20453955901426735</v>
      </c>
      <c r="F31" s="53">
        <f t="shared" si="2"/>
        <v>4.0504109589041097E-3</v>
      </c>
      <c r="G31" s="51">
        <f t="shared" si="3"/>
        <v>0.20048914805536325</v>
      </c>
      <c r="H31" s="1"/>
      <c r="I31" s="8">
        <f t="shared" si="0"/>
        <v>92.87</v>
      </c>
      <c r="J31" s="52">
        <f t="shared" si="4"/>
        <v>0.20453955901426735</v>
      </c>
      <c r="K31" s="48">
        <v>19574.64</v>
      </c>
      <c r="L31" s="52">
        <f t="shared" si="5"/>
        <v>1.0959884683895416E-2</v>
      </c>
      <c r="M31" s="1"/>
      <c r="N31" s="1"/>
      <c r="O31" s="1"/>
      <c r="P31" s="30"/>
      <c r="Q31" s="69"/>
      <c r="R31" s="133">
        <f>SUM(R10:R30)/8</f>
        <v>0.5</v>
      </c>
    </row>
    <row r="32" spans="2:18" x14ac:dyDescent="0.2">
      <c r="B32" s="46">
        <v>45505</v>
      </c>
      <c r="C32">
        <v>130.55000000000001</v>
      </c>
      <c r="D32" s="47">
        <v>5.1799999999999999E-2</v>
      </c>
      <c r="E32" s="52">
        <f t="shared" si="1"/>
        <v>0.40572843760094757</v>
      </c>
      <c r="F32" s="53">
        <f t="shared" si="2"/>
        <v>3.9736986301369863E-3</v>
      </c>
      <c r="G32" s="51">
        <f t="shared" si="3"/>
        <v>0.4017547389708106</v>
      </c>
      <c r="H32" s="1"/>
      <c r="I32" s="8">
        <f t="shared" si="0"/>
        <v>130.55000000000001</v>
      </c>
      <c r="J32" s="52">
        <f t="shared" si="4"/>
        <v>0.40572843760094757</v>
      </c>
      <c r="K32" s="48">
        <v>20060.689999999999</v>
      </c>
      <c r="L32" s="52">
        <f t="shared" si="5"/>
        <v>2.4830597139972932E-2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169.39</v>
      </c>
      <c r="D33" s="47">
        <v>4.7399999999999998E-2</v>
      </c>
      <c r="E33" s="52">
        <f t="shared" si="1"/>
        <v>0.29751053236307912</v>
      </c>
      <c r="F33" s="53">
        <f t="shared" si="2"/>
        <v>3.6361643835616433E-3</v>
      </c>
      <c r="G33" s="51">
        <f t="shared" si="3"/>
        <v>0.29387436797951749</v>
      </c>
      <c r="H33" s="1"/>
      <c r="I33" s="8">
        <f t="shared" si="0"/>
        <v>169.39</v>
      </c>
      <c r="J33" s="52">
        <f t="shared" si="4"/>
        <v>0.29751053236307912</v>
      </c>
      <c r="K33" s="48">
        <v>19890.41</v>
      </c>
      <c r="L33" s="52">
        <f t="shared" si="5"/>
        <v>-8.4882424283511115E-3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336.75</v>
      </c>
      <c r="D34" s="47">
        <v>4.58E-2</v>
      </c>
      <c r="E34" s="52">
        <f t="shared" si="1"/>
        <v>0.9880158214770649</v>
      </c>
      <c r="F34" s="53">
        <f t="shared" si="2"/>
        <v>3.5134246575342465E-3</v>
      </c>
      <c r="G34" s="51">
        <f t="shared" si="3"/>
        <v>0.98450239681953067</v>
      </c>
      <c r="H34" s="1"/>
      <c r="I34" s="8">
        <f t="shared" si="0"/>
        <v>336.75</v>
      </c>
      <c r="J34" s="52">
        <f t="shared" si="4"/>
        <v>0.9880158214770649</v>
      </c>
      <c r="K34" s="48">
        <v>20930.37</v>
      </c>
      <c r="L34" s="52">
        <f t="shared" si="5"/>
        <v>5.2284492878728939E-2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323.83</v>
      </c>
      <c r="D35" s="47">
        <v>4.5499999999999999E-2</v>
      </c>
      <c r="E35" s="52">
        <f t="shared" si="1"/>
        <v>-3.8366740905716457E-2</v>
      </c>
      <c r="F35" s="53">
        <f t="shared" si="2"/>
        <v>3.4904109589041091E-3</v>
      </c>
      <c r="G35" s="51">
        <f t="shared" si="3"/>
        <v>-4.1857151864620565E-2</v>
      </c>
      <c r="H35" s="1"/>
      <c r="I35" s="8">
        <f t="shared" si="0"/>
        <v>323.83</v>
      </c>
      <c r="J35" s="52">
        <f t="shared" si="4"/>
        <v>-3.8366740905716457E-2</v>
      </c>
      <c r="K35" s="48">
        <v>21012.17</v>
      </c>
      <c r="L35" s="52">
        <f t="shared" si="5"/>
        <v>3.9081965583980249E-3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369.59</v>
      </c>
      <c r="D36" s="47">
        <v>4.2200000000000001E-2</v>
      </c>
      <c r="E36" s="52">
        <f t="shared" si="1"/>
        <v>0.14130871136089929</v>
      </c>
      <c r="F36" s="53">
        <f t="shared" si="2"/>
        <v>3.2372602739726029E-3</v>
      </c>
      <c r="G36" s="51">
        <f t="shared" si="3"/>
        <v>0.13807145108692667</v>
      </c>
      <c r="H36" s="1"/>
      <c r="I36" s="8">
        <f t="shared" si="0"/>
        <v>369.59</v>
      </c>
      <c r="J36" s="52">
        <f t="shared" si="4"/>
        <v>0.14130871136089929</v>
      </c>
      <c r="K36" s="48">
        <v>21478.05</v>
      </c>
      <c r="L36" s="52">
        <f t="shared" si="5"/>
        <v>2.2171912753418566E-2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325.74</v>
      </c>
      <c r="D37" s="47">
        <v>4.2599999999999999E-2</v>
      </c>
      <c r="E37" s="52">
        <f t="shared" si="1"/>
        <v>-0.11864498498335985</v>
      </c>
      <c r="F37" s="53">
        <f t="shared" si="2"/>
        <v>3.267945205479452E-3</v>
      </c>
      <c r="G37" s="51">
        <f t="shared" si="3"/>
        <v>-0.12191293018883929</v>
      </c>
      <c r="H37" s="1"/>
      <c r="I37" s="8">
        <f t="shared" si="0"/>
        <v>325.74</v>
      </c>
      <c r="J37" s="52">
        <f t="shared" si="4"/>
        <v>-0.11864498498335985</v>
      </c>
      <c r="K37" s="48">
        <v>20884.41</v>
      </c>
      <c r="L37" s="52">
        <f t="shared" si="5"/>
        <v>-2.7639380670032909E-2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264.97000000000003</v>
      </c>
      <c r="D38" s="47">
        <v>4.24E-2</v>
      </c>
      <c r="E38" s="52">
        <f t="shared" si="1"/>
        <v>-0.18655983299564061</v>
      </c>
      <c r="F38" s="53">
        <f t="shared" si="2"/>
        <v>3.2526027397260277E-3</v>
      </c>
      <c r="G38" s="51">
        <f t="shared" si="3"/>
        <v>-0.18981243573536663</v>
      </c>
      <c r="H38" s="1"/>
      <c r="I38" s="8">
        <f t="shared" si="0"/>
        <v>264.97000000000003</v>
      </c>
      <c r="J38" s="52">
        <f t="shared" si="4"/>
        <v>-0.18655983299564061</v>
      </c>
      <c r="K38" s="48">
        <v>19278.45</v>
      </c>
      <c r="L38" s="52">
        <f t="shared" si="5"/>
        <v>-7.6897551810177989E-2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269.31</v>
      </c>
      <c r="D39" s="47">
        <v>4.24E-2</v>
      </c>
      <c r="E39" s="52">
        <f t="shared" si="1"/>
        <v>1.6379212741064908E-2</v>
      </c>
      <c r="F39" s="53">
        <f t="shared" si="2"/>
        <v>3.2526027397260277E-3</v>
      </c>
      <c r="G39" s="51">
        <f t="shared" si="3"/>
        <v>1.3126610001338881E-2</v>
      </c>
      <c r="H39" s="1"/>
      <c r="I39" s="8">
        <f t="shared" si="0"/>
        <v>269.31</v>
      </c>
      <c r="J39" s="52">
        <f t="shared" si="4"/>
        <v>1.6379212741064908E-2</v>
      </c>
      <c r="K39" s="48">
        <v>19571.02</v>
      </c>
      <c r="L39" s="52">
        <f t="shared" si="5"/>
        <v>1.51760125943734E-2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393</v>
      </c>
      <c r="D40" s="47">
        <v>4.2299999999999997E-2</v>
      </c>
      <c r="E40" s="52">
        <f t="shared" si="1"/>
        <v>0.45928483903308459</v>
      </c>
      <c r="F40" s="53">
        <f t="shared" si="2"/>
        <v>3.2449315068493151E-3</v>
      </c>
      <c r="G40" s="51">
        <f t="shared" si="3"/>
        <v>0.4560399075262353</v>
      </c>
      <c r="H40" s="1"/>
      <c r="I40" s="8">
        <f t="shared" si="0"/>
        <v>393</v>
      </c>
      <c r="J40" s="52">
        <f t="shared" si="4"/>
        <v>0.45928483903308459</v>
      </c>
      <c r="K40" s="48">
        <v>21340.99</v>
      </c>
      <c r="L40" s="52">
        <f t="shared" si="5"/>
        <v>9.04383113399303E-2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364.49</v>
      </c>
      <c r="D41" s="47">
        <v>4.2200000000000001E-2</v>
      </c>
      <c r="E41" s="52">
        <f t="shared" si="1"/>
        <v>-7.2544529262086543E-2</v>
      </c>
      <c r="F41" s="53">
        <f t="shared" si="2"/>
        <v>3.2372602739726029E-3</v>
      </c>
      <c r="G41" s="51">
        <f t="shared" si="3"/>
        <v>-7.5781789536059144E-2</v>
      </c>
      <c r="H41" s="1"/>
      <c r="I41" s="8">
        <f t="shared" si="0"/>
        <v>364.49</v>
      </c>
      <c r="J41" s="52">
        <f t="shared" si="4"/>
        <v>-7.2544529262086543E-2</v>
      </c>
      <c r="K41" s="48">
        <v>21913.32</v>
      </c>
      <c r="L41" s="52">
        <f t="shared" si="5"/>
        <v>2.6818343478910656E-2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0.1230559075965434</v>
      </c>
      <c r="H43" s="1"/>
      <c r="I43" s="1"/>
      <c r="J43" s="1"/>
      <c r="K43" s="48" t="s">
        <v>65</v>
      </c>
      <c r="L43" s="82">
        <f>COVAR(J20:J41,L20:L41)</f>
        <v>5.6718355952148462E-3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2.111160292142152E-3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2.6865963784586668</v>
      </c>
    </row>
  </sheetData>
  <mergeCells count="1">
    <mergeCell ref="B4:D4"/>
  </mergeCells>
  <conditionalFormatting sqref="S10">
    <cfRule type="expression" dxfId="56" priority="19">
      <formula>IF($Q$10&gt;$Q$11,1,0)</formula>
    </cfRule>
  </conditionalFormatting>
  <conditionalFormatting sqref="Q10">
    <cfRule type="expression" dxfId="55" priority="10">
      <formula>IF($Q$10&lt;$Q$11,1,0)</formula>
    </cfRule>
    <cfRule type="expression" dxfId="54" priority="18">
      <formula>IF($Q$10&gt;$Q$11,1,0)</formula>
    </cfRule>
  </conditionalFormatting>
  <conditionalFormatting sqref="Q12">
    <cfRule type="expression" dxfId="53" priority="9">
      <formula>IF($Q$12&gt;$Q$13,1,0)</formula>
    </cfRule>
    <cfRule type="expression" dxfId="52" priority="17">
      <formula>IF($Q$12&lt;$Q$13,1,0)</formula>
    </cfRule>
  </conditionalFormatting>
  <conditionalFormatting sqref="Q14">
    <cfRule type="expression" dxfId="51" priority="16">
      <formula>IF($Q$15="Sell",1,0)</formula>
    </cfRule>
  </conditionalFormatting>
  <conditionalFormatting sqref="Q14:Q15">
    <cfRule type="expression" dxfId="50" priority="15">
      <formula>IF($Q$15="Buy",1,0)</formula>
    </cfRule>
  </conditionalFormatting>
  <conditionalFormatting sqref="Q16">
    <cfRule type="expression" dxfId="49" priority="13">
      <formula>IF($Q$16&lt;$Q$17,1,0)</formula>
    </cfRule>
    <cfRule type="expression" dxfId="48" priority="14">
      <formula>IF($Q$16&gt;$Q$17,1,0)</formula>
    </cfRule>
  </conditionalFormatting>
  <conditionalFormatting sqref="Q18">
    <cfRule type="expression" dxfId="47" priority="11">
      <formula>IF($Q$18&lt;$Q$19,1,0)</formula>
    </cfRule>
    <cfRule type="expression" dxfId="46" priority="12">
      <formula>IF($Q$18&gt;$Q$19,1,0)</formula>
    </cfRule>
  </conditionalFormatting>
  <conditionalFormatting sqref="Q23">
    <cfRule type="expression" dxfId="45" priority="7">
      <formula>IF($Q$23&lt;1.1,1,0)</formula>
    </cfRule>
    <cfRule type="expression" dxfId="44" priority="8">
      <formula>IF($Q$23&gt;1.1,1,0)</formula>
    </cfRule>
  </conditionalFormatting>
  <conditionalFormatting sqref="Q26">
    <cfRule type="expression" dxfId="43" priority="5">
      <formula>IF($Q$26&lt;$Q$19,1,0)</formula>
    </cfRule>
    <cfRule type="expression" dxfId="42" priority="6">
      <formula>IF($Q$26&gt;$Q$19,1,0)</formula>
    </cfRule>
  </conditionalFormatting>
  <conditionalFormatting sqref="Q30">
    <cfRule type="expression" dxfId="41" priority="3">
      <formula>IF($Q$28&lt;$Q$29,1,0)</formula>
    </cfRule>
    <cfRule type="expression" dxfId="40" priority="4">
      <formula>IF($Q$28&gt;$Q$29,1,0)</formula>
    </cfRule>
  </conditionalFormatting>
  <conditionalFormatting sqref="R31">
    <cfRule type="expression" dxfId="39" priority="1">
      <formula>IF($R$31&lt;0.485,1,0)</formula>
    </cfRule>
    <cfRule type="expression" dxfId="38" priority="2">
      <formula>IF($R$31&gt;0.49,1,0)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0F0B4-078B-491B-AA9C-63A47E560C29}">
  <sheetPr codeName="Sheet8"/>
  <dimension ref="B2:R45"/>
  <sheetViews>
    <sheetView topLeftCell="I1" zoomScale="85" zoomScaleNormal="85" workbookViewId="0">
      <selection activeCell="Q14" sqref="Q14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125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124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AAPL</v>
      </c>
      <c r="R5" s="8"/>
    </row>
    <row r="6" spans="2:18" x14ac:dyDescent="0.2">
      <c r="B6" s="1" t="s">
        <v>4</v>
      </c>
      <c r="C6" s="1" t="s">
        <v>62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NASDAQ</v>
      </c>
      <c r="R6" s="8"/>
    </row>
    <row r="7" spans="2:18" x14ac:dyDescent="0.2">
      <c r="B7" s="1" t="s">
        <v>7</v>
      </c>
      <c r="C7" s="13">
        <v>45821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196.45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30.55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29.87</v>
      </c>
      <c r="R11" s="31">
        <f>IF(Q10&gt;Q11,0,1)</f>
        <v>0</v>
      </c>
    </row>
    <row r="12" spans="2:18" x14ac:dyDescent="0.2">
      <c r="B12" s="1" t="s">
        <v>26</v>
      </c>
      <c r="C12" s="32">
        <f>Q23</f>
        <v>1.21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1.65</v>
      </c>
      <c r="R12" s="25"/>
    </row>
    <row r="13" spans="2:18" x14ac:dyDescent="0.2">
      <c r="B13" s="1" t="s">
        <v>30</v>
      </c>
      <c r="C13" s="26">
        <f>G43</f>
        <v>2.3004318716735849E-6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1.61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4.0702783522564727E-2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-1.26</v>
      </c>
      <c r="R14" s="31"/>
    </row>
    <row r="15" spans="2:18" ht="19" x14ac:dyDescent="0.25">
      <c r="B15" s="1" t="s">
        <v>36</v>
      </c>
      <c r="C15" s="39">
        <f>C10*(1+C14)</f>
        <v>204.4460618230078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70</v>
      </c>
      <c r="R15" s="35">
        <f>IF(Q15="Sell",0,1)</f>
        <v>0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31.04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34.72</v>
      </c>
      <c r="R17" s="42">
        <f>IF(Q16&lt;Q17,0,1)</f>
        <v>0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APPLE INC</v>
      </c>
      <c r="J18" s="34" t="s">
        <v>45</v>
      </c>
      <c r="K18" s="34" t="s">
        <v>64</v>
      </c>
      <c r="L18" s="34" t="s">
        <v>46</v>
      </c>
      <c r="M18" s="1"/>
      <c r="N18" s="21"/>
      <c r="O18" s="22"/>
      <c r="P18" s="23" t="s">
        <v>47</v>
      </c>
      <c r="Q18" s="137">
        <f>C14</f>
        <v>4.0702783522564727E-2</v>
      </c>
      <c r="R18" s="25"/>
    </row>
    <row r="19" spans="2:18" x14ac:dyDescent="0.2">
      <c r="B19" s="46">
        <v>45108</v>
      </c>
      <c r="C19">
        <v>187.87</v>
      </c>
      <c r="D19" s="47">
        <v>5.2699999999999997E-2</v>
      </c>
      <c r="E19" s="1"/>
      <c r="F19" s="1"/>
      <c r="G19" s="1"/>
      <c r="H19" s="1"/>
      <c r="I19" s="8">
        <f>C19</f>
        <v>187.87</v>
      </c>
      <c r="J19" s="8"/>
      <c r="K19" s="48">
        <v>15501.07</v>
      </c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C20">
        <v>171.21</v>
      </c>
      <c r="D20" s="47">
        <v>5.28E-2</v>
      </c>
      <c r="E20" s="52">
        <f>C20/C19-1</f>
        <v>-8.8678341406291605E-2</v>
      </c>
      <c r="F20" s="53">
        <f>D20/365*28</f>
        <v>4.0504109589041097E-3</v>
      </c>
      <c r="G20" s="51">
        <f>E20-F20</f>
        <v>-9.2728752365195719E-2</v>
      </c>
      <c r="H20" s="1"/>
      <c r="I20" s="8">
        <f t="shared" ref="I20:I41" si="0">C20</f>
        <v>171.21</v>
      </c>
      <c r="J20" s="52">
        <f>I20/I19-1</f>
        <v>-8.8678341406291605E-2</v>
      </c>
      <c r="K20" s="48">
        <v>14715.24</v>
      </c>
      <c r="L20" s="52">
        <f>K20/K19-1</f>
        <v>-5.0695210072595032E-2</v>
      </c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C21">
        <v>170.77</v>
      </c>
      <c r="D21" s="47">
        <v>5.2900000000000003E-2</v>
      </c>
      <c r="E21" s="52">
        <f t="shared" ref="E21:E41" si="1">C21/C20-1</f>
        <v>-2.5699433444308362E-3</v>
      </c>
      <c r="F21" s="53">
        <f t="shared" ref="F21:F41" si="2">D21/365*28</f>
        <v>4.0580821917808214E-3</v>
      </c>
      <c r="G21" s="51">
        <f t="shared" ref="G21:G41" si="3">E21-F21</f>
        <v>-6.6280255362116576E-3</v>
      </c>
      <c r="H21" s="1"/>
      <c r="I21" s="8">
        <f t="shared" si="0"/>
        <v>170.77</v>
      </c>
      <c r="J21" s="52">
        <f t="shared" ref="J21:J41" si="4">I21/I20-1</f>
        <v>-2.5699433444308362E-3</v>
      </c>
      <c r="K21" s="48">
        <v>14409.78</v>
      </c>
      <c r="L21" s="52">
        <f t="shared" ref="L21:L41" si="5">K21/K20-1</f>
        <v>-2.0758071224118657E-2</v>
      </c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C22">
        <v>189.95</v>
      </c>
      <c r="D22" s="47">
        <v>5.2900000000000003E-2</v>
      </c>
      <c r="E22" s="52">
        <f t="shared" si="1"/>
        <v>0.1123148093927504</v>
      </c>
      <c r="F22" s="53">
        <f t="shared" si="2"/>
        <v>4.0580821917808214E-3</v>
      </c>
      <c r="G22" s="51">
        <f t="shared" si="3"/>
        <v>0.10825672720096959</v>
      </c>
      <c r="H22" s="1"/>
      <c r="I22" s="8">
        <f t="shared" si="0"/>
        <v>189.95</v>
      </c>
      <c r="J22" s="52">
        <f t="shared" si="4"/>
        <v>0.1123148093927504</v>
      </c>
      <c r="K22" s="48">
        <v>15947.87</v>
      </c>
      <c r="L22" s="52">
        <f t="shared" si="5"/>
        <v>0.10673931177297646</v>
      </c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C23">
        <v>192.53</v>
      </c>
      <c r="D23" s="47">
        <v>5.2900000000000003E-2</v>
      </c>
      <c r="E23" s="52">
        <f t="shared" si="1"/>
        <v>1.3582521716241081E-2</v>
      </c>
      <c r="F23" s="53">
        <f t="shared" si="2"/>
        <v>4.0580821917808214E-3</v>
      </c>
      <c r="G23" s="51">
        <f t="shared" si="3"/>
        <v>9.5244395244602591E-3</v>
      </c>
      <c r="H23" s="1"/>
      <c r="I23" s="8">
        <f t="shared" si="0"/>
        <v>192.53</v>
      </c>
      <c r="J23" s="52">
        <f t="shared" si="4"/>
        <v>1.3582521716241081E-2</v>
      </c>
      <c r="K23" s="48">
        <v>16825.93</v>
      </c>
      <c r="L23" s="52">
        <f t="shared" si="5"/>
        <v>5.5058136290300874E-2</v>
      </c>
      <c r="M23" s="1"/>
      <c r="N23" s="57" t="s">
        <v>51</v>
      </c>
      <c r="O23" s="58" t="s">
        <v>52</v>
      </c>
      <c r="P23" s="59" t="s">
        <v>44</v>
      </c>
      <c r="Q23" s="128">
        <v>1.21</v>
      </c>
      <c r="R23" s="61">
        <f>IF(Q23&gt;1.1,0,1)</f>
        <v>0</v>
      </c>
    </row>
    <row r="24" spans="2:18" x14ac:dyDescent="0.2">
      <c r="B24" s="46">
        <v>45261</v>
      </c>
      <c r="C24">
        <v>184.4</v>
      </c>
      <c r="D24" s="47">
        <v>5.33E-2</v>
      </c>
      <c r="E24" s="52">
        <f t="shared" si="1"/>
        <v>-4.2227185373707954E-2</v>
      </c>
      <c r="F24" s="53">
        <f t="shared" si="2"/>
        <v>4.0887671232876718E-3</v>
      </c>
      <c r="G24" s="51">
        <f t="shared" si="3"/>
        <v>-4.6315952496995626E-2</v>
      </c>
      <c r="H24" s="1"/>
      <c r="I24" s="8">
        <f t="shared" si="0"/>
        <v>184.4</v>
      </c>
      <c r="J24" s="52">
        <f t="shared" si="4"/>
        <v>-4.2227185373707954E-2</v>
      </c>
      <c r="K24" s="48">
        <v>17137.240000000002</v>
      </c>
      <c r="L24" s="52">
        <f t="shared" si="5"/>
        <v>1.8501800494831633E-2</v>
      </c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C25">
        <v>180.75</v>
      </c>
      <c r="D25" s="47">
        <v>5.2699999999999997E-2</v>
      </c>
      <c r="E25" s="52">
        <f t="shared" si="1"/>
        <v>-1.9793926247288485E-2</v>
      </c>
      <c r="F25" s="53">
        <f t="shared" si="2"/>
        <v>4.0427397260273962E-3</v>
      </c>
      <c r="G25" s="51">
        <f t="shared" si="3"/>
        <v>-2.3836665973315879E-2</v>
      </c>
      <c r="H25" s="1"/>
      <c r="I25" s="8">
        <f t="shared" si="0"/>
        <v>180.75</v>
      </c>
      <c r="J25" s="52">
        <f t="shared" si="4"/>
        <v>-1.9793926247288485E-2</v>
      </c>
      <c r="K25" s="48">
        <v>18043.849999999999</v>
      </c>
      <c r="L25" s="52">
        <f t="shared" si="5"/>
        <v>5.2902917856084031E-2</v>
      </c>
      <c r="M25" s="1"/>
      <c r="N25" s="30"/>
      <c r="O25" s="64"/>
      <c r="P25" s="30" t="s">
        <v>23</v>
      </c>
      <c r="Q25" s="84">
        <f>Q10</f>
        <v>30.55</v>
      </c>
      <c r="R25" s="31"/>
    </row>
    <row r="26" spans="2:18" x14ac:dyDescent="0.2">
      <c r="B26" s="46">
        <v>45323</v>
      </c>
      <c r="C26">
        <v>171.48</v>
      </c>
      <c r="D26" s="47">
        <v>5.2999999999999999E-2</v>
      </c>
      <c r="E26" s="52">
        <f t="shared" si="1"/>
        <v>-5.1286307053941993E-2</v>
      </c>
      <c r="F26" s="53">
        <f t="shared" si="2"/>
        <v>4.0657534246575349E-3</v>
      </c>
      <c r="G26" s="51">
        <f t="shared" si="3"/>
        <v>-5.535206047859953E-2</v>
      </c>
      <c r="H26" s="1"/>
      <c r="I26" s="8">
        <f t="shared" si="0"/>
        <v>171.48</v>
      </c>
      <c r="J26" s="52">
        <f t="shared" si="4"/>
        <v>-5.1286307053941993E-2</v>
      </c>
      <c r="K26" s="48">
        <v>18254.689999999999</v>
      </c>
      <c r="L26" s="52">
        <f t="shared" si="5"/>
        <v>1.1684867697304036E-2</v>
      </c>
      <c r="M26" s="1"/>
      <c r="N26" s="49" t="s">
        <v>54</v>
      </c>
      <c r="O26" s="64"/>
      <c r="P26" s="30" t="s">
        <v>55</v>
      </c>
      <c r="Q26" s="132">
        <f>1/Q25</f>
        <v>3.2733224222585927E-2</v>
      </c>
      <c r="R26" s="31">
        <f>IF(Q26&lt;Q19,0,1)</f>
        <v>0</v>
      </c>
    </row>
    <row r="27" spans="2:18" x14ac:dyDescent="0.2">
      <c r="B27" s="46">
        <v>45352</v>
      </c>
      <c r="C27">
        <v>170.33</v>
      </c>
      <c r="D27" s="47">
        <v>5.2900000000000003E-2</v>
      </c>
      <c r="E27" s="52">
        <f t="shared" si="1"/>
        <v>-6.7063214369020852E-3</v>
      </c>
      <c r="F27" s="53">
        <f t="shared" si="2"/>
        <v>4.0580821917808214E-3</v>
      </c>
      <c r="G27" s="51">
        <f t="shared" si="3"/>
        <v>-1.0764403628682907E-2</v>
      </c>
      <c r="H27" s="1"/>
      <c r="I27" s="8">
        <f t="shared" si="0"/>
        <v>170.33</v>
      </c>
      <c r="J27" s="52">
        <f t="shared" si="4"/>
        <v>-6.7063214369020852E-3</v>
      </c>
      <c r="K27" s="48">
        <v>17440.689999999999</v>
      </c>
      <c r="L27" s="52">
        <f t="shared" si="5"/>
        <v>-4.4591280377809794E-2</v>
      </c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C28">
        <v>192.25</v>
      </c>
      <c r="D28" s="47">
        <v>5.28E-2</v>
      </c>
      <c r="E28" s="52">
        <f t="shared" si="1"/>
        <v>0.12869136382316682</v>
      </c>
      <c r="F28" s="53">
        <f t="shared" si="2"/>
        <v>4.0504109589041097E-3</v>
      </c>
      <c r="G28" s="51">
        <f t="shared" si="3"/>
        <v>0.1246409528642627</v>
      </c>
      <c r="H28" s="1"/>
      <c r="I28" s="8">
        <f t="shared" si="0"/>
        <v>192.25</v>
      </c>
      <c r="J28" s="52">
        <f t="shared" si="4"/>
        <v>0.12869136382316682</v>
      </c>
      <c r="K28" s="48">
        <v>18536.650000000001</v>
      </c>
      <c r="L28" s="52">
        <f t="shared" si="5"/>
        <v>6.2839256933068688E-2</v>
      </c>
      <c r="M28" s="1"/>
      <c r="N28" s="30"/>
      <c r="O28" s="1"/>
      <c r="P28" s="30" t="s">
        <v>57</v>
      </c>
      <c r="Q28" s="51">
        <f>Q18</f>
        <v>4.0702783522564727E-2</v>
      </c>
      <c r="R28" s="31"/>
    </row>
    <row r="29" spans="2:18" x14ac:dyDescent="0.2">
      <c r="B29" s="46">
        <v>45413</v>
      </c>
      <c r="C29">
        <v>210.62</v>
      </c>
      <c r="D29" s="47">
        <v>5.2699999999999997E-2</v>
      </c>
      <c r="E29" s="52">
        <f t="shared" si="1"/>
        <v>9.5552665799739867E-2</v>
      </c>
      <c r="F29" s="53">
        <f t="shared" si="2"/>
        <v>4.0427397260273962E-3</v>
      </c>
      <c r="G29" s="51">
        <f t="shared" si="3"/>
        <v>9.1509926073712472E-2</v>
      </c>
      <c r="H29" s="1"/>
      <c r="I29" s="8">
        <f t="shared" si="0"/>
        <v>210.62</v>
      </c>
      <c r="J29" s="52">
        <f t="shared" si="4"/>
        <v>9.5552665799739867E-2</v>
      </c>
      <c r="K29" s="48">
        <v>19682.87</v>
      </c>
      <c r="L29" s="52">
        <f t="shared" si="5"/>
        <v>6.1835337021522108E-2</v>
      </c>
      <c r="M29" s="1"/>
      <c r="N29" s="49" t="s">
        <v>117</v>
      </c>
      <c r="O29" s="1"/>
      <c r="P29" s="30" t="s">
        <v>58</v>
      </c>
      <c r="Q29" s="67">
        <v>-6.8000000000000005E-2</v>
      </c>
      <c r="R29" s="31"/>
    </row>
    <row r="30" spans="2:18" ht="17" thickBot="1" x14ac:dyDescent="0.25">
      <c r="B30" s="46">
        <v>45444</v>
      </c>
      <c r="C30">
        <v>222.08</v>
      </c>
      <c r="D30" s="47">
        <v>5.2699999999999997E-2</v>
      </c>
      <c r="E30" s="52">
        <f t="shared" si="1"/>
        <v>5.4410787199696165E-2</v>
      </c>
      <c r="F30" s="53">
        <f t="shared" si="2"/>
        <v>4.0427397260273962E-3</v>
      </c>
      <c r="G30" s="51">
        <f t="shared" si="3"/>
        <v>5.036804747366877E-2</v>
      </c>
      <c r="I30" s="8">
        <f t="shared" si="0"/>
        <v>222.08</v>
      </c>
      <c r="J30" s="52">
        <f t="shared" si="4"/>
        <v>5.4410787199696165E-2</v>
      </c>
      <c r="K30" s="48">
        <v>19362.43</v>
      </c>
      <c r="L30" s="52">
        <f t="shared" si="5"/>
        <v>-1.6280146137224838E-2</v>
      </c>
      <c r="M30" s="1"/>
      <c r="N30" s="1"/>
      <c r="O30" s="1"/>
      <c r="P30" s="33"/>
      <c r="Q30" s="68">
        <f>Q28-Q29</f>
        <v>0.10870278352256474</v>
      </c>
      <c r="R30" s="31">
        <f>IF(Q28&lt;Q29,0,1)</f>
        <v>1</v>
      </c>
    </row>
    <row r="31" spans="2:18" ht="17" thickBot="1" x14ac:dyDescent="0.25">
      <c r="B31" s="46">
        <v>45474</v>
      </c>
      <c r="C31">
        <v>229</v>
      </c>
      <c r="D31" s="47">
        <v>5.28E-2</v>
      </c>
      <c r="E31" s="52">
        <f t="shared" si="1"/>
        <v>3.115994236311237E-2</v>
      </c>
      <c r="F31" s="53">
        <f t="shared" si="2"/>
        <v>4.0504109589041097E-3</v>
      </c>
      <c r="G31" s="51">
        <f t="shared" si="3"/>
        <v>2.710953140420826E-2</v>
      </c>
      <c r="H31" s="1"/>
      <c r="I31" s="8">
        <f t="shared" si="0"/>
        <v>229</v>
      </c>
      <c r="J31" s="52">
        <f t="shared" si="4"/>
        <v>3.115994236311237E-2</v>
      </c>
      <c r="K31" s="48">
        <v>19574.64</v>
      </c>
      <c r="L31" s="52">
        <f t="shared" si="5"/>
        <v>1.0959884683895416E-2</v>
      </c>
      <c r="M31" s="1"/>
      <c r="N31" s="1"/>
      <c r="O31" s="1"/>
      <c r="P31" s="30"/>
      <c r="Q31" s="69"/>
      <c r="R31" s="133">
        <f>SUM(R10:R30)/8</f>
        <v>0.375</v>
      </c>
    </row>
    <row r="32" spans="2:18" x14ac:dyDescent="0.2">
      <c r="B32" s="46">
        <v>45505</v>
      </c>
      <c r="C32">
        <v>233</v>
      </c>
      <c r="D32" s="47">
        <v>5.1799999999999999E-2</v>
      </c>
      <c r="E32" s="52">
        <f t="shared" si="1"/>
        <v>1.7467248908296984E-2</v>
      </c>
      <c r="F32" s="53">
        <f t="shared" si="2"/>
        <v>3.9736986301369863E-3</v>
      </c>
      <c r="G32" s="51">
        <f t="shared" si="3"/>
        <v>1.3493550278159998E-2</v>
      </c>
      <c r="H32" s="1"/>
      <c r="I32" s="8">
        <f t="shared" si="0"/>
        <v>233</v>
      </c>
      <c r="J32" s="52">
        <f t="shared" si="4"/>
        <v>1.7467248908296984E-2</v>
      </c>
      <c r="K32" s="48">
        <v>20060.689999999999</v>
      </c>
      <c r="L32" s="52">
        <f t="shared" si="5"/>
        <v>2.4830597139972932E-2</v>
      </c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C33">
        <v>225.91</v>
      </c>
      <c r="D33" s="47">
        <v>4.7399999999999998E-2</v>
      </c>
      <c r="E33" s="52">
        <f t="shared" si="1"/>
        <v>-3.0429184549356281E-2</v>
      </c>
      <c r="F33" s="53">
        <f t="shared" si="2"/>
        <v>3.6361643835616433E-3</v>
      </c>
      <c r="G33" s="51">
        <f t="shared" si="3"/>
        <v>-3.4065348932917926E-2</v>
      </c>
      <c r="H33" s="1"/>
      <c r="I33" s="8">
        <f t="shared" si="0"/>
        <v>225.91</v>
      </c>
      <c r="J33" s="52">
        <f t="shared" si="4"/>
        <v>-3.0429184549356281E-2</v>
      </c>
      <c r="K33" s="48">
        <v>19890.41</v>
      </c>
      <c r="L33" s="52">
        <f t="shared" si="5"/>
        <v>-8.4882424283511115E-3</v>
      </c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C34">
        <v>237.33</v>
      </c>
      <c r="D34" s="47">
        <v>4.58E-2</v>
      </c>
      <c r="E34" s="52">
        <f t="shared" si="1"/>
        <v>5.0551104422114967E-2</v>
      </c>
      <c r="F34" s="53">
        <f t="shared" si="2"/>
        <v>3.5134246575342465E-3</v>
      </c>
      <c r="G34" s="51">
        <f t="shared" si="3"/>
        <v>4.7037679764580724E-2</v>
      </c>
      <c r="H34" s="1"/>
      <c r="I34" s="8">
        <f t="shared" si="0"/>
        <v>237.33</v>
      </c>
      <c r="J34" s="52">
        <f t="shared" si="4"/>
        <v>5.0551104422114967E-2</v>
      </c>
      <c r="K34" s="48">
        <v>20930.37</v>
      </c>
      <c r="L34" s="52">
        <f t="shared" si="5"/>
        <v>5.2284492878728939E-2</v>
      </c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C35">
        <v>250.42</v>
      </c>
      <c r="D35" s="47">
        <v>4.5499999999999999E-2</v>
      </c>
      <c r="E35" s="52">
        <f t="shared" si="1"/>
        <v>5.5155269034677268E-2</v>
      </c>
      <c r="F35" s="53">
        <f t="shared" si="2"/>
        <v>3.4904109589041091E-3</v>
      </c>
      <c r="G35" s="51">
        <f t="shared" si="3"/>
        <v>5.166485807577316E-2</v>
      </c>
      <c r="H35" s="1"/>
      <c r="I35" s="8">
        <f t="shared" si="0"/>
        <v>250.42</v>
      </c>
      <c r="J35" s="52">
        <f t="shared" si="4"/>
        <v>5.5155269034677268E-2</v>
      </c>
      <c r="K35" s="48">
        <v>21012.17</v>
      </c>
      <c r="L35" s="52">
        <f t="shared" si="5"/>
        <v>3.9081965583980249E-3</v>
      </c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C36">
        <v>236</v>
      </c>
      <c r="D36" s="47">
        <v>4.2200000000000001E-2</v>
      </c>
      <c r="E36" s="52">
        <f t="shared" si="1"/>
        <v>-5.7583260122993307E-2</v>
      </c>
      <c r="F36" s="53">
        <f t="shared" si="2"/>
        <v>3.2372602739726029E-3</v>
      </c>
      <c r="G36" s="51">
        <f t="shared" si="3"/>
        <v>-6.0820520396965908E-2</v>
      </c>
      <c r="H36" s="1"/>
      <c r="I36" s="8">
        <f t="shared" si="0"/>
        <v>236</v>
      </c>
      <c r="J36" s="52">
        <f t="shared" si="4"/>
        <v>-5.7583260122993307E-2</v>
      </c>
      <c r="K36" s="48">
        <v>21478.05</v>
      </c>
      <c r="L36" s="52">
        <f t="shared" si="5"/>
        <v>2.2171912753418566E-2</v>
      </c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C37">
        <v>241.84</v>
      </c>
      <c r="D37" s="47">
        <v>4.2599999999999999E-2</v>
      </c>
      <c r="E37" s="52">
        <f t="shared" si="1"/>
        <v>2.474576271186435E-2</v>
      </c>
      <c r="F37" s="53">
        <f t="shared" si="2"/>
        <v>3.267945205479452E-3</v>
      </c>
      <c r="G37" s="51">
        <f t="shared" si="3"/>
        <v>2.1477817506384899E-2</v>
      </c>
      <c r="H37" s="1"/>
      <c r="I37" s="8">
        <f t="shared" si="0"/>
        <v>241.84</v>
      </c>
      <c r="J37" s="52">
        <f t="shared" si="4"/>
        <v>2.474576271186435E-2</v>
      </c>
      <c r="K37" s="48">
        <v>20884.41</v>
      </c>
      <c r="L37" s="52">
        <f t="shared" si="5"/>
        <v>-2.7639380670032909E-2</v>
      </c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C38">
        <v>222.13</v>
      </c>
      <c r="D38" s="47">
        <v>4.24E-2</v>
      </c>
      <c r="E38" s="52">
        <f t="shared" si="1"/>
        <v>-8.1500165398610713E-2</v>
      </c>
      <c r="F38" s="53">
        <f t="shared" si="2"/>
        <v>3.2526027397260277E-3</v>
      </c>
      <c r="G38" s="51">
        <f t="shared" si="3"/>
        <v>-8.4752768138336737E-2</v>
      </c>
      <c r="H38" s="1"/>
      <c r="I38" s="8">
        <f t="shared" si="0"/>
        <v>222.13</v>
      </c>
      <c r="J38" s="52">
        <f t="shared" si="4"/>
        <v>-8.1500165398610713E-2</v>
      </c>
      <c r="K38" s="48">
        <v>19278.45</v>
      </c>
      <c r="L38" s="52">
        <f t="shared" si="5"/>
        <v>-7.6897551810177989E-2</v>
      </c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C39">
        <v>212.5</v>
      </c>
      <c r="D39" s="47">
        <v>4.24E-2</v>
      </c>
      <c r="E39" s="52">
        <f t="shared" si="1"/>
        <v>-4.3352991491468984E-2</v>
      </c>
      <c r="F39" s="53">
        <f t="shared" si="2"/>
        <v>3.2526027397260277E-3</v>
      </c>
      <c r="G39" s="51">
        <f t="shared" si="3"/>
        <v>-4.6605594231195015E-2</v>
      </c>
      <c r="H39" s="1"/>
      <c r="I39" s="8">
        <f t="shared" si="0"/>
        <v>212.5</v>
      </c>
      <c r="J39" s="52">
        <f t="shared" si="4"/>
        <v>-4.3352991491468984E-2</v>
      </c>
      <c r="K39" s="48">
        <v>19571.02</v>
      </c>
      <c r="L39" s="52">
        <f t="shared" si="5"/>
        <v>1.51760125943734E-2</v>
      </c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200.85</v>
      </c>
      <c r="D40" s="47">
        <v>4.2299999999999997E-2</v>
      </c>
      <c r="E40" s="52">
        <f t="shared" si="1"/>
        <v>-5.4823529411764715E-2</v>
      </c>
      <c r="F40" s="53">
        <f t="shared" si="2"/>
        <v>3.2449315068493151E-3</v>
      </c>
      <c r="G40" s="51">
        <f t="shared" si="3"/>
        <v>-5.8068460918614027E-2</v>
      </c>
      <c r="H40" s="1"/>
      <c r="I40" s="8">
        <f t="shared" si="0"/>
        <v>200.85</v>
      </c>
      <c r="J40" s="52">
        <f t="shared" si="4"/>
        <v>-5.4823529411764715E-2</v>
      </c>
      <c r="K40" s="48">
        <v>21340.99</v>
      </c>
      <c r="L40" s="52">
        <f t="shared" si="5"/>
        <v>9.04383113399303E-2</v>
      </c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196.46</v>
      </c>
      <c r="D41" s="47">
        <v>4.2200000000000001E-2</v>
      </c>
      <c r="E41" s="52">
        <f t="shared" si="1"/>
        <v>-2.1857107294000477E-2</v>
      </c>
      <c r="F41" s="53">
        <f t="shared" si="2"/>
        <v>3.2372602739726029E-3</v>
      </c>
      <c r="G41" s="51">
        <f t="shared" si="3"/>
        <v>-2.5094367567973081E-2</v>
      </c>
      <c r="H41" s="1"/>
      <c r="I41" s="8">
        <f t="shared" si="0"/>
        <v>196.46</v>
      </c>
      <c r="J41" s="52">
        <f t="shared" si="4"/>
        <v>-2.1857107294000477E-2</v>
      </c>
      <c r="K41" s="48">
        <v>21913.32</v>
      </c>
      <c r="L41" s="52">
        <f t="shared" si="5"/>
        <v>2.6818343478910656E-2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2.3004318716735849E-6</v>
      </c>
      <c r="H43" s="1"/>
      <c r="I43" s="1"/>
      <c r="J43" s="1"/>
      <c r="K43" s="48" t="s">
        <v>65</v>
      </c>
      <c r="L43" s="82">
        <f>COVAR(J20:J41,L20:L41)</f>
        <v>1.3121123026494286E-3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>
        <f>VAR(L20:L41)</f>
        <v>2.111160292142152E-3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>
        <f>L43/L44</f>
        <v>0.62151240127676644</v>
      </c>
    </row>
  </sheetData>
  <mergeCells count="1">
    <mergeCell ref="B4:D4"/>
  </mergeCells>
  <conditionalFormatting sqref="S10">
    <cfRule type="expression" dxfId="37" priority="19">
      <formula>IF($Q$10&gt;$Q$11,1,0)</formula>
    </cfRule>
  </conditionalFormatting>
  <conditionalFormatting sqref="Q10">
    <cfRule type="expression" dxfId="36" priority="10">
      <formula>IF($Q$10&lt;$Q$11,1,0)</formula>
    </cfRule>
    <cfRule type="expression" dxfId="35" priority="18">
      <formula>IF($Q$10&gt;$Q$11,1,0)</formula>
    </cfRule>
  </conditionalFormatting>
  <conditionalFormatting sqref="Q12">
    <cfRule type="expression" dxfId="34" priority="9">
      <formula>IF($Q$12&gt;$Q$13,1,0)</formula>
    </cfRule>
    <cfRule type="expression" dxfId="33" priority="17">
      <formula>IF($Q$12&lt;$Q$13,1,0)</formula>
    </cfRule>
  </conditionalFormatting>
  <conditionalFormatting sqref="Q14">
    <cfRule type="expression" dxfId="32" priority="16">
      <formula>IF($Q$15="Sell",1,0)</formula>
    </cfRule>
  </conditionalFormatting>
  <conditionalFormatting sqref="Q14:Q15">
    <cfRule type="expression" dxfId="31" priority="15">
      <formula>IF($Q$15="Buy",1,0)</formula>
    </cfRule>
  </conditionalFormatting>
  <conditionalFormatting sqref="Q16">
    <cfRule type="expression" dxfId="30" priority="13">
      <formula>IF($Q$16&lt;$Q$17,1,0)</formula>
    </cfRule>
    <cfRule type="expression" dxfId="29" priority="14">
      <formula>IF($Q$16&gt;$Q$17,1,0)</formula>
    </cfRule>
  </conditionalFormatting>
  <conditionalFormatting sqref="Q18">
    <cfRule type="expression" dxfId="28" priority="11">
      <formula>IF($Q$18&lt;$Q$19,1,0)</formula>
    </cfRule>
    <cfRule type="expression" dxfId="27" priority="12">
      <formula>IF($Q$18&gt;$Q$19,1,0)</formula>
    </cfRule>
  </conditionalFormatting>
  <conditionalFormatting sqref="Q23">
    <cfRule type="expression" dxfId="26" priority="7">
      <formula>IF($Q$23&lt;1.1,1,0)</formula>
    </cfRule>
    <cfRule type="expression" dxfId="25" priority="8">
      <formula>IF($Q$23&gt;1.1,1,0)</formula>
    </cfRule>
  </conditionalFormatting>
  <conditionalFormatting sqref="Q26">
    <cfRule type="expression" dxfId="24" priority="5">
      <formula>IF($Q$26&lt;$Q$19,1,0)</formula>
    </cfRule>
    <cfRule type="expression" dxfId="23" priority="6">
      <formula>IF($Q$26&gt;$Q$19,1,0)</formula>
    </cfRule>
  </conditionalFormatting>
  <conditionalFormatting sqref="Q30">
    <cfRule type="expression" dxfId="22" priority="3">
      <formula>IF($Q$28&lt;$Q$29,1,0)</formula>
    </cfRule>
    <cfRule type="expression" dxfId="21" priority="4">
      <formula>IF($Q$28&gt;$Q$29,1,0)</formula>
    </cfRule>
  </conditionalFormatting>
  <conditionalFormatting sqref="R31">
    <cfRule type="expression" dxfId="20" priority="1">
      <formula>IF($R$31&lt;0.485,1,0)</formula>
    </cfRule>
    <cfRule type="expression" dxfId="19" priority="2">
      <formula>IF($R$31&gt;0.49,1,0)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E03FC-09A5-40C7-9A60-8F602448E22A}">
  <sheetPr codeName="Sheet9"/>
  <dimension ref="B2:R45"/>
  <sheetViews>
    <sheetView zoomScale="85" zoomScaleNormal="85" workbookViewId="0">
      <selection activeCell="C15" sqref="C15"/>
    </sheetView>
  </sheetViews>
  <sheetFormatPr baseColWidth="10" defaultColWidth="11" defaultRowHeight="16" x14ac:dyDescent="0.2"/>
  <cols>
    <col min="2" max="2" width="16.6640625" bestFit="1" customWidth="1"/>
    <col min="3" max="3" width="28.1640625" bestFit="1" customWidth="1"/>
    <col min="9" max="9" width="11.33203125" bestFit="1" customWidth="1"/>
    <col min="11" max="11" width="13.6640625" bestFit="1" customWidth="1"/>
    <col min="14" max="14" width="18.5" bestFit="1" customWidth="1"/>
    <col min="15" max="15" width="17.1640625" bestFit="1" customWidth="1"/>
    <col min="16" max="16" width="18.1640625" bestFit="1" customWidth="1"/>
  </cols>
  <sheetData>
    <row r="2" spans="2:18" ht="24" x14ac:dyDescent="0.3">
      <c r="B2" s="7" t="s">
        <v>126</v>
      </c>
      <c r="C2" s="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8"/>
    </row>
    <row r="3" spans="2:18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8"/>
    </row>
    <row r="4" spans="2:18" ht="17" thickBot="1" x14ac:dyDescent="0.25">
      <c r="B4" s="168" t="s">
        <v>1</v>
      </c>
      <c r="C4" s="168"/>
      <c r="D4" s="16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2">
      <c r="B5" s="1" t="s">
        <v>2</v>
      </c>
      <c r="C5" s="10" t="s">
        <v>127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4" t="s">
        <v>3</v>
      </c>
      <c r="Q5" s="11" t="str">
        <f>C5</f>
        <v>RBNE</v>
      </c>
      <c r="R5" s="8"/>
    </row>
    <row r="6" spans="2:18" x14ac:dyDescent="0.2">
      <c r="B6" s="1" t="s">
        <v>4</v>
      </c>
      <c r="C6" s="1" t="s">
        <v>62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5" t="s">
        <v>6</v>
      </c>
      <c r="Q6" s="12" t="str">
        <f>C6</f>
        <v>NASDAQ</v>
      </c>
      <c r="R6" s="8"/>
    </row>
    <row r="7" spans="2:18" x14ac:dyDescent="0.2">
      <c r="B7" s="1" t="s">
        <v>7</v>
      </c>
      <c r="C7" s="13">
        <v>45822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" t="s">
        <v>8</v>
      </c>
      <c r="Q7" s="12" t="s">
        <v>9</v>
      </c>
      <c r="R7" s="8"/>
    </row>
    <row r="8" spans="2:18" ht="17" thickBot="1" x14ac:dyDescent="0.25">
      <c r="B8" s="14" t="s">
        <v>10</v>
      </c>
      <c r="C8" s="14" t="s">
        <v>121</v>
      </c>
      <c r="D8" s="14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6" t="s">
        <v>11</v>
      </c>
      <c r="Q8" s="15" t="s">
        <v>12</v>
      </c>
      <c r="R8" s="8"/>
    </row>
    <row r="9" spans="2:18" ht="34" x14ac:dyDescent="0.2">
      <c r="B9" s="1" t="s">
        <v>13</v>
      </c>
      <c r="C9" t="s">
        <v>14</v>
      </c>
      <c r="D9" s="1"/>
      <c r="E9" s="1"/>
      <c r="F9" s="1"/>
      <c r="G9" s="1"/>
      <c r="H9" s="1"/>
      <c r="I9" s="1"/>
      <c r="J9" s="1"/>
      <c r="K9" s="1"/>
      <c r="L9" s="1"/>
      <c r="M9" s="1"/>
      <c r="N9" s="16" t="s">
        <v>15</v>
      </c>
      <c r="O9" s="17" t="s">
        <v>16</v>
      </c>
      <c r="P9" s="18" t="s">
        <v>17</v>
      </c>
      <c r="Q9" s="18" t="s">
        <v>18</v>
      </c>
      <c r="R9" s="19" t="s">
        <v>19</v>
      </c>
    </row>
    <row r="10" spans="2:18" x14ac:dyDescent="0.2">
      <c r="B10" s="1" t="s">
        <v>20</v>
      </c>
      <c r="C10" s="20">
        <v>14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21" t="s">
        <v>21</v>
      </c>
      <c r="O10" s="22" t="s">
        <v>22</v>
      </c>
      <c r="P10" s="23" t="s">
        <v>23</v>
      </c>
      <c r="Q10" s="134">
        <v>46.27</v>
      </c>
      <c r="R10" s="25"/>
    </row>
    <row r="11" spans="2:18" x14ac:dyDescent="0.2">
      <c r="B11" s="1" t="s">
        <v>24</v>
      </c>
      <c r="C11" s="26">
        <v>4.07E-2</v>
      </c>
      <c r="D11" s="27">
        <v>45635</v>
      </c>
      <c r="E11" s="1"/>
      <c r="F11" s="1"/>
      <c r="G11" s="1"/>
      <c r="H11" s="1"/>
      <c r="I11" s="1"/>
      <c r="J11" s="1"/>
      <c r="K11" s="1"/>
      <c r="L11" s="1"/>
      <c r="M11" s="1"/>
      <c r="N11" s="28"/>
      <c r="O11" s="29"/>
      <c r="P11" s="30" t="s">
        <v>25</v>
      </c>
      <c r="Q11" s="8">
        <v>-14.63</v>
      </c>
      <c r="R11" s="31">
        <f>IF(Q10&gt;Q11,0,1)</f>
        <v>0</v>
      </c>
    </row>
    <row r="12" spans="2:18" x14ac:dyDescent="0.2">
      <c r="B12" s="1" t="s">
        <v>26</v>
      </c>
      <c r="C12" s="32">
        <v>2.64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21" t="s">
        <v>27</v>
      </c>
      <c r="O12" s="22" t="s">
        <v>28</v>
      </c>
      <c r="P12" s="23" t="s">
        <v>29</v>
      </c>
      <c r="Q12" s="135">
        <v>0.96</v>
      </c>
      <c r="R12" s="25"/>
    </row>
    <row r="13" spans="2:18" x14ac:dyDescent="0.2">
      <c r="B13" s="1" t="s">
        <v>30</v>
      </c>
      <c r="C13" s="26">
        <f>G43</f>
        <v>2.0515034296570342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9"/>
      <c r="P13" s="33" t="s">
        <v>31</v>
      </c>
      <c r="Q13" s="34">
        <v>0.93</v>
      </c>
      <c r="R13" s="35">
        <f>IF(Q12&lt;Q13,0,1)</f>
        <v>1</v>
      </c>
    </row>
    <row r="14" spans="2:18" x14ac:dyDescent="0.2">
      <c r="B14" s="1" t="s">
        <v>32</v>
      </c>
      <c r="C14" s="36">
        <f>C11+(C12*C13)</f>
        <v>5.4566690542945713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21" t="s">
        <v>33</v>
      </c>
      <c r="O14" s="22" t="s">
        <v>34</v>
      </c>
      <c r="P14" s="37" t="s">
        <v>35</v>
      </c>
      <c r="Q14" s="136">
        <v>3.64</v>
      </c>
      <c r="R14" s="31"/>
    </row>
    <row r="15" spans="2:18" ht="19" x14ac:dyDescent="0.25">
      <c r="B15" s="1" t="s">
        <v>36</v>
      </c>
      <c r="C15" s="39">
        <f>C10*(1+C14)</f>
        <v>90.393366760123996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9"/>
      <c r="P15" s="33"/>
      <c r="Q15" s="86" t="s">
        <v>118</v>
      </c>
      <c r="R15" s="35">
        <f>IF(Q15="Sell",0,1)</f>
        <v>1</v>
      </c>
    </row>
    <row r="16" spans="2:18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1" t="s">
        <v>67</v>
      </c>
      <c r="O16" s="22" t="s">
        <v>22</v>
      </c>
      <c r="P16" s="23" t="s">
        <v>37</v>
      </c>
      <c r="Q16" s="89">
        <v>-0.12</v>
      </c>
      <c r="R16" s="25"/>
    </row>
    <row r="17" spans="2:18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9"/>
      <c r="P17" s="33" t="s">
        <v>38</v>
      </c>
      <c r="Q17" s="34">
        <v>62.92</v>
      </c>
      <c r="R17" s="42">
        <f>IF(Q16&lt;Q17,0,1)</f>
        <v>0</v>
      </c>
    </row>
    <row r="18" spans="2:18" x14ac:dyDescent="0.2">
      <c r="B18" s="43" t="s">
        <v>30</v>
      </c>
      <c r="C18" s="44" t="s">
        <v>39</v>
      </c>
      <c r="D18" s="44" t="s">
        <v>40</v>
      </c>
      <c r="E18" s="34" t="s">
        <v>41</v>
      </c>
      <c r="F18" s="44" t="s">
        <v>42</v>
      </c>
      <c r="G18" s="44" t="s">
        <v>43</v>
      </c>
      <c r="H18" s="9" t="s">
        <v>44</v>
      </c>
      <c r="I18" s="34" t="str">
        <f>_xlfn.CONCAT("Precio ",B2)</f>
        <v>Precio Robin Energy Ltd</v>
      </c>
      <c r="J18" s="34" t="s">
        <v>45</v>
      </c>
      <c r="K18" s="34" t="s">
        <v>64</v>
      </c>
      <c r="L18" s="34" t="s">
        <v>46</v>
      </c>
      <c r="M18" s="1"/>
      <c r="N18" s="21"/>
      <c r="O18" s="22"/>
      <c r="P18" s="23" t="s">
        <v>47</v>
      </c>
      <c r="Q18" s="137">
        <f>C14</f>
        <v>5.4566690542945713</v>
      </c>
      <c r="R18" s="25"/>
    </row>
    <row r="19" spans="2:18" x14ac:dyDescent="0.2">
      <c r="B19" s="46">
        <v>45108</v>
      </c>
      <c r="D19" s="47"/>
      <c r="E19" s="1"/>
      <c r="F19" s="1"/>
      <c r="G19" s="1"/>
      <c r="H19" s="1"/>
      <c r="I19" s="8"/>
      <c r="J19" s="8"/>
      <c r="K19" s="48"/>
      <c r="L19" s="8"/>
      <c r="M19" s="1"/>
      <c r="N19" s="49"/>
      <c r="O19" s="50" t="s">
        <v>48</v>
      </c>
      <c r="P19" s="30" t="s">
        <v>8</v>
      </c>
      <c r="Q19" s="51">
        <f>C11</f>
        <v>4.07E-2</v>
      </c>
      <c r="R19" s="31"/>
    </row>
    <row r="20" spans="2:18" x14ac:dyDescent="0.2">
      <c r="B20" s="46">
        <v>45139</v>
      </c>
      <c r="D20" s="47"/>
      <c r="E20" s="52"/>
      <c r="F20" s="53"/>
      <c r="G20" s="51"/>
      <c r="H20" s="1"/>
      <c r="I20" s="8"/>
      <c r="J20" s="52"/>
      <c r="K20" s="48"/>
      <c r="L20" s="52"/>
      <c r="M20" s="1"/>
      <c r="N20" s="49"/>
      <c r="O20" s="50" t="s">
        <v>49</v>
      </c>
      <c r="P20" s="30" t="s">
        <v>26</v>
      </c>
      <c r="Q20" s="54"/>
      <c r="R20" s="31"/>
    </row>
    <row r="21" spans="2:18" x14ac:dyDescent="0.2">
      <c r="B21" s="46">
        <v>45170</v>
      </c>
      <c r="D21" s="47"/>
      <c r="E21" s="52"/>
      <c r="F21" s="53"/>
      <c r="G21" s="51"/>
      <c r="H21" s="1"/>
      <c r="I21" s="8"/>
      <c r="J21" s="52"/>
      <c r="K21" s="48"/>
      <c r="L21" s="52"/>
      <c r="M21" s="1"/>
      <c r="N21" s="49"/>
      <c r="O21" s="50" t="s">
        <v>48</v>
      </c>
      <c r="P21" s="30" t="s">
        <v>30</v>
      </c>
      <c r="Q21" s="55"/>
      <c r="R21" s="31"/>
    </row>
    <row r="22" spans="2:18" x14ac:dyDescent="0.2">
      <c r="B22" s="46">
        <v>45200</v>
      </c>
      <c r="D22" s="47"/>
      <c r="E22" s="52"/>
      <c r="F22" s="53"/>
      <c r="G22" s="51"/>
      <c r="H22" s="1"/>
      <c r="I22" s="8"/>
      <c r="J22" s="52"/>
      <c r="K22" s="48"/>
      <c r="L22" s="52"/>
      <c r="M22" s="1"/>
      <c r="N22" s="28" t="s">
        <v>50</v>
      </c>
      <c r="O22" s="29"/>
      <c r="P22" s="33"/>
      <c r="Q22" s="56"/>
      <c r="R22" s="35">
        <f>IF(Q18&lt;Q19,0,1)</f>
        <v>1</v>
      </c>
    </row>
    <row r="23" spans="2:18" x14ac:dyDescent="0.2">
      <c r="B23" s="46">
        <v>45231</v>
      </c>
      <c r="D23" s="47"/>
      <c r="E23" s="52"/>
      <c r="F23" s="53"/>
      <c r="G23" s="51"/>
      <c r="H23" s="1"/>
      <c r="I23" s="8"/>
      <c r="J23" s="52"/>
      <c r="K23" s="48"/>
      <c r="L23" s="52"/>
      <c r="M23" s="1"/>
      <c r="N23" s="57" t="s">
        <v>51</v>
      </c>
      <c r="O23" s="58" t="s">
        <v>52</v>
      </c>
      <c r="P23" s="59" t="s">
        <v>44</v>
      </c>
      <c r="Q23" s="128">
        <v>2.12</v>
      </c>
      <c r="R23" s="61">
        <f>IF(Q23&gt;1.1,0,1)</f>
        <v>0</v>
      </c>
    </row>
    <row r="24" spans="2:18" x14ac:dyDescent="0.2">
      <c r="B24" s="46">
        <v>45261</v>
      </c>
      <c r="D24" s="47"/>
      <c r="E24" s="52"/>
      <c r="F24" s="53"/>
      <c r="G24" s="51"/>
      <c r="H24" s="1"/>
      <c r="I24" s="8"/>
      <c r="J24" s="52"/>
      <c r="K24" s="48"/>
      <c r="L24" s="52"/>
      <c r="M24" s="1"/>
      <c r="N24" s="62"/>
      <c r="O24" s="22" t="s">
        <v>52</v>
      </c>
      <c r="P24" s="23" t="s">
        <v>53</v>
      </c>
      <c r="Q24" s="1"/>
      <c r="R24" s="25"/>
    </row>
    <row r="25" spans="2:18" x14ac:dyDescent="0.2">
      <c r="B25" s="46">
        <v>45292</v>
      </c>
      <c r="D25" s="47"/>
      <c r="E25" s="52"/>
      <c r="F25" s="53"/>
      <c r="G25" s="51"/>
      <c r="H25" s="1"/>
      <c r="I25" s="8"/>
      <c r="J25" s="52"/>
      <c r="K25" s="48"/>
      <c r="L25" s="52"/>
      <c r="M25" s="1"/>
      <c r="N25" s="30"/>
      <c r="O25" s="64"/>
      <c r="P25" s="30" t="s">
        <v>23</v>
      </c>
      <c r="Q25" s="84">
        <f>Q10</f>
        <v>46.27</v>
      </c>
      <c r="R25" s="31"/>
    </row>
    <row r="26" spans="2:18" x14ac:dyDescent="0.2">
      <c r="B26" s="46">
        <v>45323</v>
      </c>
      <c r="D26" s="47"/>
      <c r="E26" s="52"/>
      <c r="F26" s="53"/>
      <c r="G26" s="51"/>
      <c r="H26" s="1"/>
      <c r="I26" s="8"/>
      <c r="J26" s="52"/>
      <c r="K26" s="48"/>
      <c r="L26" s="52"/>
      <c r="M26" s="1"/>
      <c r="N26" s="49" t="s">
        <v>54</v>
      </c>
      <c r="O26" s="64"/>
      <c r="P26" s="30" t="s">
        <v>55</v>
      </c>
      <c r="Q26" s="132">
        <f>1/Q25</f>
        <v>2.1612275772638856E-2</v>
      </c>
      <c r="R26" s="31">
        <f>IF(Q26&lt;Q19,0,1)</f>
        <v>0</v>
      </c>
    </row>
    <row r="27" spans="2:18" x14ac:dyDescent="0.2">
      <c r="B27" s="46">
        <v>45352</v>
      </c>
      <c r="D27" s="47"/>
      <c r="E27" s="52"/>
      <c r="F27" s="53"/>
      <c r="G27" s="51"/>
      <c r="H27" s="1"/>
      <c r="I27" s="8"/>
      <c r="J27" s="52"/>
      <c r="K27" s="48"/>
      <c r="L27" s="52"/>
      <c r="M27" s="1"/>
      <c r="N27" s="62"/>
      <c r="O27" s="63"/>
      <c r="P27" s="23" t="s">
        <v>56</v>
      </c>
      <c r="Q27" s="63"/>
      <c r="R27" s="25"/>
    </row>
    <row r="28" spans="2:18" x14ac:dyDescent="0.2">
      <c r="B28" s="46">
        <v>45383</v>
      </c>
      <c r="D28" s="47"/>
      <c r="E28" s="52"/>
      <c r="F28" s="53"/>
      <c r="G28" s="51"/>
      <c r="H28" s="1"/>
      <c r="I28" s="8"/>
      <c r="J28" s="52"/>
      <c r="K28" s="48"/>
      <c r="L28" s="52"/>
      <c r="M28" s="1"/>
      <c r="N28" s="30"/>
      <c r="O28" s="1"/>
      <c r="P28" s="30" t="s">
        <v>57</v>
      </c>
      <c r="Q28" s="51">
        <f>Q18</f>
        <v>5.4566690542945713</v>
      </c>
      <c r="R28" s="31"/>
    </row>
    <row r="29" spans="2:18" x14ac:dyDescent="0.2">
      <c r="B29" s="46">
        <v>45413</v>
      </c>
      <c r="D29" s="47"/>
      <c r="E29" s="52"/>
      <c r="F29" s="53"/>
      <c r="G29" s="51"/>
      <c r="H29" s="1"/>
      <c r="I29" s="8"/>
      <c r="J29" s="52"/>
      <c r="K29" s="48"/>
      <c r="L29" s="52"/>
      <c r="M29" s="1"/>
      <c r="N29" s="49" t="s">
        <v>117</v>
      </c>
      <c r="O29" s="1"/>
      <c r="P29" s="30" t="s">
        <v>58</v>
      </c>
      <c r="Q29" s="67">
        <v>0.1542</v>
      </c>
      <c r="R29" s="31"/>
    </row>
    <row r="30" spans="2:18" ht="17" thickBot="1" x14ac:dyDescent="0.25">
      <c r="B30" s="46">
        <v>45444</v>
      </c>
      <c r="D30" s="47"/>
      <c r="E30" s="52"/>
      <c r="F30" s="53"/>
      <c r="G30" s="51"/>
      <c r="I30" s="8"/>
      <c r="J30" s="52"/>
      <c r="K30" s="48"/>
      <c r="L30" s="52"/>
      <c r="M30" s="1"/>
      <c r="N30" s="1"/>
      <c r="O30" s="1"/>
      <c r="P30" s="33"/>
      <c r="Q30" s="68">
        <f>Q28-Q29</f>
        <v>5.3024690542945709</v>
      </c>
      <c r="R30" s="31">
        <f>IF(Q28&lt;Q29,0,1)</f>
        <v>1</v>
      </c>
    </row>
    <row r="31" spans="2:18" ht="17" thickBot="1" x14ac:dyDescent="0.25">
      <c r="B31" s="46">
        <v>45474</v>
      </c>
      <c r="D31" s="47"/>
      <c r="E31" s="52"/>
      <c r="F31" s="53"/>
      <c r="G31" s="51"/>
      <c r="H31" s="1"/>
      <c r="I31" s="8"/>
      <c r="J31" s="52"/>
      <c r="K31" s="48"/>
      <c r="L31" s="52"/>
      <c r="M31" s="1"/>
      <c r="N31" s="1"/>
      <c r="O31" s="1"/>
      <c r="P31" s="30"/>
      <c r="Q31" s="69"/>
      <c r="R31" s="133">
        <f>SUM(R10:R30)/8</f>
        <v>0.5</v>
      </c>
    </row>
    <row r="32" spans="2:18" x14ac:dyDescent="0.2">
      <c r="B32" s="46">
        <v>45505</v>
      </c>
      <c r="D32" s="47"/>
      <c r="E32" s="52"/>
      <c r="F32" s="53"/>
      <c r="G32" s="51"/>
      <c r="H32" s="1"/>
      <c r="I32" s="8"/>
      <c r="J32" s="52"/>
      <c r="K32" s="48"/>
      <c r="L32" s="52"/>
      <c r="M32" s="1"/>
      <c r="N32" s="1"/>
      <c r="O32" s="1"/>
      <c r="P32" s="71"/>
      <c r="Q32" s="72"/>
      <c r="R32" s="73"/>
    </row>
    <row r="33" spans="2:18" x14ac:dyDescent="0.2">
      <c r="B33" s="46">
        <v>45536</v>
      </c>
      <c r="D33" s="47"/>
      <c r="E33" s="52"/>
      <c r="F33" s="53"/>
      <c r="G33" s="51"/>
      <c r="H33" s="1"/>
      <c r="I33" s="8"/>
      <c r="J33" s="52"/>
      <c r="K33" s="48"/>
      <c r="L33" s="52"/>
      <c r="M33" s="1"/>
      <c r="N33" s="1"/>
      <c r="O33" s="1"/>
      <c r="P33" s="74"/>
      <c r="Q33" s="75"/>
      <c r="R33" s="76"/>
    </row>
    <row r="34" spans="2:18" ht="17" thickBot="1" x14ac:dyDescent="0.25">
      <c r="B34" s="46">
        <v>45566</v>
      </c>
      <c r="D34" s="47"/>
      <c r="E34" s="52"/>
      <c r="F34" s="53"/>
      <c r="G34" s="51"/>
      <c r="H34" s="1"/>
      <c r="I34" s="8"/>
      <c r="J34" s="52"/>
      <c r="K34" s="48"/>
      <c r="L34" s="52"/>
      <c r="M34" s="1"/>
      <c r="N34" s="1"/>
      <c r="O34" s="1"/>
      <c r="P34" s="77"/>
      <c r="Q34" s="78"/>
      <c r="R34" s="79"/>
    </row>
    <row r="35" spans="2:18" x14ac:dyDescent="0.2">
      <c r="B35" s="46">
        <v>45597</v>
      </c>
      <c r="D35" s="47"/>
      <c r="E35" s="52"/>
      <c r="F35" s="53"/>
      <c r="G35" s="51"/>
      <c r="H35" s="1"/>
      <c r="I35" s="8"/>
      <c r="J35" s="52"/>
      <c r="K35" s="48"/>
      <c r="L35" s="52"/>
      <c r="M35" s="1"/>
      <c r="N35" s="1"/>
      <c r="O35" s="1"/>
      <c r="P35" s="1"/>
      <c r="Q35" s="1"/>
      <c r="R35" s="8"/>
    </row>
    <row r="36" spans="2:18" x14ac:dyDescent="0.2">
      <c r="B36" s="46">
        <v>45627</v>
      </c>
      <c r="D36" s="47"/>
      <c r="E36" s="52"/>
      <c r="F36" s="53"/>
      <c r="G36" s="51"/>
      <c r="H36" s="1"/>
      <c r="I36" s="8"/>
      <c r="J36" s="52"/>
      <c r="K36" s="48"/>
      <c r="L36" s="52"/>
      <c r="M36" s="1"/>
      <c r="N36" s="1"/>
      <c r="O36" s="1"/>
      <c r="P36" s="1"/>
      <c r="Q36" s="1"/>
      <c r="R36" s="8"/>
    </row>
    <row r="37" spans="2:18" x14ac:dyDescent="0.2">
      <c r="B37" s="46">
        <v>45658</v>
      </c>
      <c r="D37" s="47"/>
      <c r="E37" s="52"/>
      <c r="F37" s="53"/>
      <c r="G37" s="51"/>
      <c r="H37" s="1"/>
      <c r="I37" s="8"/>
      <c r="J37" s="52"/>
      <c r="K37" s="48"/>
      <c r="L37" s="52"/>
      <c r="M37" s="1"/>
      <c r="N37" s="1"/>
      <c r="O37" s="1"/>
      <c r="P37" s="1"/>
      <c r="Q37" s="1"/>
      <c r="R37" s="8"/>
    </row>
    <row r="38" spans="2:18" x14ac:dyDescent="0.2">
      <c r="B38" s="46">
        <v>45689</v>
      </c>
      <c r="D38" s="47"/>
      <c r="E38" s="52"/>
      <c r="F38" s="53"/>
      <c r="G38" s="51"/>
      <c r="H38" s="1"/>
      <c r="I38" s="8"/>
      <c r="J38" s="52"/>
      <c r="K38" s="48"/>
      <c r="L38" s="52"/>
      <c r="M38" s="1"/>
      <c r="N38" s="1"/>
      <c r="O38" s="1"/>
      <c r="P38" s="1"/>
      <c r="Q38" s="1"/>
      <c r="R38" s="8"/>
    </row>
    <row r="39" spans="2:18" x14ac:dyDescent="0.2">
      <c r="B39" s="46">
        <v>45717</v>
      </c>
      <c r="D39" s="47"/>
      <c r="E39" s="52"/>
      <c r="F39" s="53"/>
      <c r="G39" s="51"/>
      <c r="H39" s="1"/>
      <c r="I39" s="8"/>
      <c r="J39" s="52"/>
      <c r="K39" s="48"/>
      <c r="L39" s="52"/>
      <c r="M39" s="1"/>
      <c r="N39" s="1"/>
      <c r="O39" s="1"/>
      <c r="P39" s="1"/>
      <c r="Q39" s="1"/>
      <c r="R39" s="8"/>
    </row>
    <row r="40" spans="2:18" x14ac:dyDescent="0.2">
      <c r="B40" s="46">
        <v>45748</v>
      </c>
      <c r="C40">
        <v>2.74</v>
      </c>
      <c r="D40" s="47">
        <v>4.2299999999999997E-2</v>
      </c>
      <c r="E40" s="52"/>
      <c r="F40" s="53">
        <f t="shared" ref="F40:F41" si="0">D40/365*28</f>
        <v>3.2449315068493151E-3</v>
      </c>
      <c r="G40" s="51">
        <f t="shared" ref="G40:G41" si="1">E40-F40</f>
        <v>-3.2449315068493151E-3</v>
      </c>
      <c r="H40" s="1"/>
      <c r="I40" s="8">
        <f t="shared" ref="I40:I41" si="2">C40</f>
        <v>2.74</v>
      </c>
      <c r="J40" s="52"/>
      <c r="K40" s="48">
        <v>21340.99</v>
      </c>
      <c r="L40" s="52"/>
      <c r="M40" s="1"/>
      <c r="N40" s="1"/>
      <c r="O40" s="1"/>
      <c r="P40" s="1"/>
      <c r="Q40" s="1"/>
      <c r="R40" s="8"/>
    </row>
    <row r="41" spans="2:18" x14ac:dyDescent="0.2">
      <c r="B41" s="46">
        <v>45778</v>
      </c>
      <c r="C41">
        <v>14</v>
      </c>
      <c r="D41" s="47">
        <v>4.2200000000000001E-2</v>
      </c>
      <c r="E41" s="52">
        <f t="shared" ref="E41" si="3">C41/C40-1</f>
        <v>4.10948905109489</v>
      </c>
      <c r="F41" s="53">
        <f t="shared" si="0"/>
        <v>3.2372602739726029E-3</v>
      </c>
      <c r="G41" s="51">
        <f t="shared" si="1"/>
        <v>4.1062517908209175</v>
      </c>
      <c r="H41" s="1"/>
      <c r="I41" s="8">
        <f t="shared" si="2"/>
        <v>14</v>
      </c>
      <c r="J41" s="52">
        <f t="shared" ref="J41" si="4">I41/I40-1</f>
        <v>4.10948905109489</v>
      </c>
      <c r="K41" s="48">
        <v>21913.32</v>
      </c>
      <c r="L41" s="52">
        <f t="shared" ref="L41" si="5">K41/K40-1</f>
        <v>2.6818343478910656E-2</v>
      </c>
      <c r="M41" s="1"/>
      <c r="N41" s="1"/>
      <c r="O41" s="1"/>
      <c r="P41" s="1"/>
      <c r="Q41" s="1"/>
      <c r="R41" s="8"/>
    </row>
    <row r="42" spans="2:18" ht="17" thickBot="1" x14ac:dyDescent="0.25">
      <c r="B42" s="46"/>
      <c r="D42" s="47"/>
      <c r="E42" s="52"/>
      <c r="F42" s="53"/>
      <c r="G42" s="51"/>
      <c r="H42" s="1"/>
      <c r="I42" s="8"/>
      <c r="J42" s="52"/>
      <c r="K42" s="48"/>
      <c r="L42" s="52"/>
      <c r="M42" s="1"/>
      <c r="N42" s="1"/>
      <c r="O42" s="1"/>
      <c r="P42" s="1"/>
      <c r="Q42" s="1"/>
      <c r="R42" s="8"/>
    </row>
    <row r="43" spans="2:18" ht="17" thickBot="1" x14ac:dyDescent="0.25">
      <c r="B43" s="1"/>
      <c r="C43" s="1"/>
      <c r="D43" s="1"/>
      <c r="E43" s="1"/>
      <c r="F43" s="80" t="s">
        <v>59</v>
      </c>
      <c r="G43" s="81">
        <f>AVERAGE(G20:G41)</f>
        <v>2.0515034296570342</v>
      </c>
      <c r="H43" s="1"/>
      <c r="I43" s="1"/>
      <c r="J43" s="1"/>
      <c r="K43" s="48" t="s">
        <v>65</v>
      </c>
      <c r="L43" s="82">
        <f>COVAR(J20:J41,L20:L41)</f>
        <v>0</v>
      </c>
      <c r="M43" s="1"/>
      <c r="N43" s="1"/>
      <c r="O43" s="1"/>
      <c r="P43" s="1"/>
      <c r="Q43" s="1"/>
      <c r="R43" s="8"/>
    </row>
    <row r="44" spans="2:18" ht="17" thickBot="1" x14ac:dyDescent="0.25">
      <c r="B44" s="1"/>
      <c r="C44" s="1"/>
      <c r="D44" s="1"/>
      <c r="E44" s="1"/>
      <c r="F44" s="1"/>
      <c r="G44" s="1"/>
      <c r="H44" s="1"/>
      <c r="I44" s="1"/>
      <c r="J44" s="1"/>
      <c r="K44" s="1" t="s">
        <v>60</v>
      </c>
      <c r="L44" s="82" t="e">
        <f>VAR(L20:L41)</f>
        <v>#DIV/0!</v>
      </c>
      <c r="M44" s="1"/>
      <c r="N44" s="1"/>
      <c r="O44" s="1"/>
      <c r="P44" s="1"/>
      <c r="Q44" s="1"/>
      <c r="R44" s="8"/>
    </row>
    <row r="45" spans="2:18" ht="17" thickBot="1" x14ac:dyDescent="0.25">
      <c r="K45" s="1"/>
      <c r="L45" s="83" t="e">
        <f>L43/L44</f>
        <v>#DIV/0!</v>
      </c>
    </row>
  </sheetData>
  <mergeCells count="1">
    <mergeCell ref="B4:D4"/>
  </mergeCells>
  <conditionalFormatting sqref="S10">
    <cfRule type="expression" dxfId="18" priority="19">
      <formula>IF($Q$10&gt;$Q$11,1,0)</formula>
    </cfRule>
  </conditionalFormatting>
  <conditionalFormatting sqref="Q10">
    <cfRule type="expression" dxfId="17" priority="10">
      <formula>IF($Q$10&lt;$Q$11,1,0)</formula>
    </cfRule>
    <cfRule type="expression" dxfId="16" priority="18">
      <formula>IF($Q$10&gt;$Q$11,1,0)</formula>
    </cfRule>
  </conditionalFormatting>
  <conditionalFormatting sqref="Q12">
    <cfRule type="expression" dxfId="15" priority="9">
      <formula>IF($Q$12&gt;$Q$13,1,0)</formula>
    </cfRule>
    <cfRule type="expression" dxfId="14" priority="17">
      <formula>IF($Q$12&lt;$Q$13,1,0)</formula>
    </cfRule>
  </conditionalFormatting>
  <conditionalFormatting sqref="Q14">
    <cfRule type="expression" dxfId="13" priority="16">
      <formula>IF($Q$15="Sell",1,0)</formula>
    </cfRule>
  </conditionalFormatting>
  <conditionalFormatting sqref="Q14:Q15">
    <cfRule type="expression" dxfId="12" priority="15">
      <formula>IF($Q$15="Buy",1,0)</formula>
    </cfRule>
  </conditionalFormatting>
  <conditionalFormatting sqref="Q16">
    <cfRule type="expression" dxfId="11" priority="13">
      <formula>IF($Q$16&lt;$Q$17,1,0)</formula>
    </cfRule>
    <cfRule type="expression" dxfId="10" priority="14">
      <formula>IF($Q$16&gt;$Q$17,1,0)</formula>
    </cfRule>
  </conditionalFormatting>
  <conditionalFormatting sqref="Q18">
    <cfRule type="expression" dxfId="9" priority="11">
      <formula>IF($Q$18&lt;$Q$19,1,0)</formula>
    </cfRule>
    <cfRule type="expression" dxfId="8" priority="12">
      <formula>IF($Q$18&gt;$Q$19,1,0)</formula>
    </cfRule>
  </conditionalFormatting>
  <conditionalFormatting sqref="Q23">
    <cfRule type="expression" dxfId="7" priority="7">
      <formula>IF($Q$23&lt;1.1,1,0)</formula>
    </cfRule>
    <cfRule type="expression" dxfId="6" priority="8">
      <formula>IF($Q$23&gt;1.1,1,0)</formula>
    </cfRule>
  </conditionalFormatting>
  <conditionalFormatting sqref="Q26">
    <cfRule type="expression" dxfId="5" priority="5">
      <formula>IF($Q$26&lt;$Q$19,1,0)</formula>
    </cfRule>
    <cfRule type="expression" dxfId="4" priority="6">
      <formula>IF($Q$26&gt;$Q$19,1,0)</formula>
    </cfRule>
  </conditionalFormatting>
  <conditionalFormatting sqref="Q30">
    <cfRule type="expression" dxfId="3" priority="3">
      <formula>IF($Q$28&lt;$Q$29,1,0)</formula>
    </cfRule>
    <cfRule type="expression" dxfId="2" priority="4">
      <formula>IF($Q$28&gt;$Q$29,1,0)</formula>
    </cfRule>
  </conditionalFormatting>
  <conditionalFormatting sqref="R31">
    <cfRule type="expression" dxfId="1" priority="1">
      <formula>IF($R$31&lt;0.485,1,0)</formula>
    </cfRule>
    <cfRule type="expression" dxfId="0" priority="2">
      <formula>IF($R$31&gt;0.49,1,0)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47E562DAAD4784B8FE7A3EF4ACC7B5D" ma:contentTypeVersion="6" ma:contentTypeDescription="Crear nuevo documento." ma:contentTypeScope="" ma:versionID="2565483d6e3c98f29a105b09128e2e54">
  <xsd:schema xmlns:xsd="http://www.w3.org/2001/XMLSchema" xmlns:xs="http://www.w3.org/2001/XMLSchema" xmlns:p="http://schemas.microsoft.com/office/2006/metadata/properties" xmlns:ns3="38311454-238a-4d36-bb89-0a6e48fab39b" targetNamespace="http://schemas.microsoft.com/office/2006/metadata/properties" ma:root="true" ma:fieldsID="faccba897cfe4fe10dad2880af2265d1" ns3:_="">
    <xsd:import namespace="38311454-238a-4d36-bb89-0a6e48fab39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11454-238a-4d36-bb89-0a6e48fab39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8311454-238a-4d36-bb89-0a6e48fab39b" xsi:nil="true"/>
  </documentManagement>
</p:properties>
</file>

<file path=customXml/itemProps1.xml><?xml version="1.0" encoding="utf-8"?>
<ds:datastoreItem xmlns:ds="http://schemas.openxmlformats.org/officeDocument/2006/customXml" ds:itemID="{2CE4E64F-0B7D-4A32-ADE3-6CA86275F96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8311454-238a-4d36-bb89-0a6e48fab39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136D79-2F99-4948-B56C-60E000040FD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F39BAB0-9C46-4FCE-90C3-98F59B3E0FD2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38311454-238a-4d36-bb89-0a6e48fab39b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INDICE</vt:lpstr>
      <vt:lpstr>NYSE</vt:lpstr>
      <vt:lpstr>NASDAQ</vt:lpstr>
      <vt:lpstr>Datos del problema </vt:lpstr>
      <vt:lpstr>Boeing (BA)</vt:lpstr>
      <vt:lpstr>AMD (AMD)</vt:lpstr>
      <vt:lpstr>PepsiCO (PEP) </vt:lpstr>
      <vt:lpstr>Microsoft (MSFT)</vt:lpstr>
      <vt:lpstr>Oracle (ORCL)</vt:lpstr>
      <vt:lpstr>Alibaba Group (BABA)</vt:lpstr>
      <vt:lpstr>GMS Inc (GMS)</vt:lpstr>
      <vt:lpstr>Jabil Circuit Inc JBL</vt:lpstr>
      <vt:lpstr>John Wiley &amp; Sons (WLY)</vt:lpstr>
      <vt:lpstr>Lennar Corporation (LEN)</vt:lpstr>
      <vt:lpstr>Micron Technology Inc (MU)</vt:lpstr>
      <vt:lpstr>Marathon Digital H. Inc. (MARA)</vt:lpstr>
      <vt:lpstr>Symbotic (SYM)</vt:lpstr>
      <vt:lpstr>Super Micro Computer Inc (SMCI)</vt:lpstr>
      <vt:lpstr>SoundHound AI Inc (SOUN)</vt:lpstr>
      <vt:lpstr>Quantum Computing Inc (QUBT)</vt:lpstr>
      <vt:lpstr>Walmart (WMT)</vt:lpstr>
      <vt:lpstr>Salesforce (CRM)</vt:lpstr>
      <vt:lpstr>RH (RH)</vt:lpstr>
      <vt:lpstr>CrowdStrike Holdings Inc (CRWD)</vt:lpstr>
      <vt:lpstr>Hims Hers Health Inc (HIMS)</vt:lpstr>
      <vt:lpstr>SoFi Technologies (SOFI)</vt:lpstr>
      <vt:lpstr>MicroStrategy Inc (MSTR)</vt:lpstr>
      <vt:lpstr>Google Class C (GOOG)</vt:lpstr>
      <vt:lpstr>PALANTIR (PLTR)</vt:lpstr>
      <vt:lpstr>NVIDIA (NVDA)</vt:lpstr>
      <vt:lpstr>Agilon Health Inc (AGL)</vt:lpstr>
      <vt:lpstr>OppFi Inc (OPFI)</vt:lpstr>
      <vt:lpstr>WolfSpeed (WOLF)</vt:lpstr>
      <vt:lpstr>AppLovin (APP)</vt:lpstr>
      <vt:lpstr>Apple Inc (AAPL)</vt:lpstr>
      <vt:lpstr>Robin Energy LTD (RBNE)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Smith</dc:creator>
  <cp:lastModifiedBy>Carlos Smith</cp:lastModifiedBy>
  <dcterms:created xsi:type="dcterms:W3CDTF">2024-12-16T01:16:18Z</dcterms:created>
  <dcterms:modified xsi:type="dcterms:W3CDTF">2026-05-19T01:15:44Z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0x010100A47E562DAAD4784B8FE7A3EF4ACC7B5D</vt:lpwstr>
  </property>
</Properties>
</file>